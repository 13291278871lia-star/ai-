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5D7B6556-E252-46D0-AA58-16A89695655C}" xr6:coauthVersionLast="47" xr6:coauthVersionMax="47" xr10:uidLastSave="{00000000-0000-0000-0000-000000000000}"/>
  <bookViews>
    <workbookView xWindow="10305" yWindow="0" windowWidth="18405" windowHeight="15480" activeTab="1" xr2:uid="{00000000-000D-0000-FFFF-FFFF00000000}"/>
  </bookViews>
  <sheets>
    <sheet name="總" sheetId="1" r:id="rId1"/>
    <sheet name="AGE" sheetId="2" r:id="rId2"/>
  </sheets>
  <calcPr calcId="191029"/>
</workbook>
</file>

<file path=xl/calcChain.xml><?xml version="1.0" encoding="utf-8"?>
<calcChain xmlns="http://schemas.openxmlformats.org/spreadsheetml/2006/main">
  <c r="F75" i="1" l="1"/>
  <c r="E76" i="1"/>
  <c r="C54" i="1"/>
  <c r="B10" i="1"/>
  <c r="D60" i="1"/>
  <c r="G50" i="1"/>
  <c r="G51" i="1"/>
  <c r="D50" i="1"/>
  <c r="D51" i="1"/>
  <c r="D52" i="1"/>
  <c r="D49" i="1"/>
  <c r="D43" i="1"/>
  <c r="BA30" i="1"/>
  <c r="AQ23" i="1"/>
  <c r="AG17" i="1"/>
  <c r="W11" i="1"/>
  <c r="C59" i="1"/>
  <c r="D59" i="1" s="1"/>
  <c r="C58" i="1"/>
  <c r="D58" i="1" s="1"/>
  <c r="C70" i="1"/>
  <c r="C71" i="1" s="1"/>
  <c r="C65" i="1"/>
  <c r="D65" i="1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F51" i="1"/>
  <c r="F49" i="1"/>
  <c r="G49" i="1" s="1"/>
  <c r="B36" i="1"/>
  <c r="C66" i="1" l="1"/>
  <c r="D66" i="1" s="1"/>
  <c r="G23" i="1"/>
  <c r="G17" i="1"/>
  <c r="C44" i="1"/>
  <c r="D44" i="1" s="1"/>
  <c r="F60" i="1"/>
  <c r="F50" i="1"/>
  <c r="C53" i="1" s="1"/>
  <c r="D53" i="1" s="1"/>
  <c r="C45" i="1"/>
  <c r="D45" i="1" s="1"/>
  <c r="B29" i="1"/>
  <c r="B22" i="1"/>
  <c r="B16" i="1"/>
  <c r="F65" i="1" l="1"/>
  <c r="E71" i="1"/>
  <c r="C61" i="1"/>
  <c r="F59" i="1"/>
  <c r="D34" i="1"/>
  <c r="D27" i="1"/>
  <c r="D20" i="1"/>
  <c r="D14" i="1"/>
  <c r="B3" i="1"/>
  <c r="G37" i="1"/>
  <c r="D8" i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G30" i="1"/>
  <c r="CD23" i="1"/>
  <c r="AG23" i="1"/>
  <c r="V23" i="1"/>
  <c r="BZ17" i="1"/>
  <c r="V17" i="1"/>
  <c r="G11" i="1"/>
  <c r="B5" i="1"/>
  <c r="B4" i="1"/>
  <c r="H69" i="1" l="1"/>
  <c r="I69" i="1" s="1"/>
  <c r="D61" i="1"/>
  <c r="C72" i="1"/>
  <c r="E72" i="1" s="1"/>
  <c r="C73" i="1"/>
  <c r="E73" i="1" s="1"/>
  <c r="C74" i="1" s="1"/>
  <c r="CP9" i="1"/>
  <c r="CR9" i="1"/>
  <c r="CQ9" i="1"/>
  <c r="D35" i="1"/>
  <c r="E34" i="1"/>
  <c r="E35" i="1" s="1"/>
  <c r="D28" i="1"/>
  <c r="E27" i="1"/>
  <c r="E28" i="1" s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D21" i="1"/>
  <c r="D15" i="1"/>
  <c r="E14" i="1"/>
  <c r="CO9" i="1"/>
  <c r="CK9" i="1"/>
  <c r="CN9" i="1"/>
  <c r="CJ9" i="1"/>
  <c r="CM9" i="1"/>
  <c r="CL9" i="1"/>
  <c r="G9" i="1"/>
  <c r="AC9" i="1"/>
  <c r="BA9" i="1"/>
  <c r="BQ9" i="1"/>
  <c r="M9" i="1"/>
  <c r="W9" i="1"/>
  <c r="AE9" i="1"/>
  <c r="AU9" i="1"/>
  <c r="BC9" i="1"/>
  <c r="BK9" i="1"/>
  <c r="BS9" i="1"/>
  <c r="CA9" i="1"/>
  <c r="CI9" i="1"/>
  <c r="U9" i="1"/>
  <c r="AK9" i="1"/>
  <c r="BI9" i="1"/>
  <c r="BY9" i="1"/>
  <c r="E9" i="1"/>
  <c r="AM9" i="1"/>
  <c r="L9" i="1"/>
  <c r="P9" i="1"/>
  <c r="X9" i="1"/>
  <c r="AF9" i="1"/>
  <c r="AN9" i="1"/>
  <c r="AV9" i="1"/>
  <c r="BD9" i="1"/>
  <c r="BL9" i="1"/>
  <c r="BT9" i="1"/>
  <c r="CB9" i="1"/>
  <c r="CC9" i="1"/>
  <c r="Y9" i="1"/>
  <c r="AW9" i="1"/>
  <c r="BM9" i="1"/>
  <c r="J9" i="1"/>
  <c r="R9" i="1"/>
  <c r="Z9" i="1"/>
  <c r="AH9" i="1"/>
  <c r="AP9" i="1"/>
  <c r="AX9" i="1"/>
  <c r="BF9" i="1"/>
  <c r="BN9" i="1"/>
  <c r="BV9" i="1"/>
  <c r="CD9" i="1"/>
  <c r="Q9" i="1"/>
  <c r="AO9" i="1"/>
  <c r="BE9" i="1"/>
  <c r="BU9" i="1"/>
  <c r="I9" i="1"/>
  <c r="S9" i="1"/>
  <c r="AA9" i="1"/>
  <c r="AI9" i="1"/>
  <c r="AQ9" i="1"/>
  <c r="AY9" i="1"/>
  <c r="BG9" i="1"/>
  <c r="BO9" i="1"/>
  <c r="BW9" i="1"/>
  <c r="CE9" i="1"/>
  <c r="O9" i="1"/>
  <c r="K9" i="1"/>
  <c r="AG9" i="1"/>
  <c r="D9" i="1"/>
  <c r="H9" i="1"/>
  <c r="T9" i="1"/>
  <c r="AB9" i="1"/>
  <c r="AJ9" i="1"/>
  <c r="AR9" i="1"/>
  <c r="AZ9" i="1"/>
  <c r="BH9" i="1"/>
  <c r="BP9" i="1"/>
  <c r="BX9" i="1"/>
  <c r="CF9" i="1"/>
  <c r="AS9" i="1"/>
  <c r="CG9" i="1"/>
  <c r="N9" i="1"/>
  <c r="F9" i="1"/>
  <c r="V9" i="1"/>
  <c r="AD9" i="1"/>
  <c r="AL9" i="1"/>
  <c r="AT9" i="1"/>
  <c r="BB9" i="1"/>
  <c r="BJ9" i="1"/>
  <c r="BR9" i="1"/>
  <c r="BZ9" i="1"/>
  <c r="CH9" i="1"/>
  <c r="E74" i="1" l="1"/>
  <c r="E75" i="1" s="1"/>
  <c r="M21" i="1"/>
  <c r="H21" i="1"/>
  <c r="T21" i="1"/>
  <c r="U21" i="1"/>
  <c r="F34" i="1"/>
  <c r="F27" i="1"/>
  <c r="AV21" i="1"/>
  <c r="AL21" i="1"/>
  <c r="AA21" i="1"/>
  <c r="AU21" i="1"/>
  <c r="AD21" i="1"/>
  <c r="CN21" i="1"/>
  <c r="AX21" i="1"/>
  <c r="CK21" i="1"/>
  <c r="Y21" i="1"/>
  <c r="AF21" i="1"/>
  <c r="AI21" i="1"/>
  <c r="AM21" i="1"/>
  <c r="CH21" i="1"/>
  <c r="V21" i="1"/>
  <c r="BQ21" i="1"/>
  <c r="E21" i="1"/>
  <c r="AY21" i="1"/>
  <c r="AP21" i="1"/>
  <c r="CC21" i="1"/>
  <c r="Q21" i="1"/>
  <c r="K21" i="1"/>
  <c r="AH21" i="1"/>
  <c r="BU21" i="1"/>
  <c r="I21" i="1"/>
  <c r="AQ21" i="1"/>
  <c r="AG21" i="1"/>
  <c r="AN21" i="1"/>
  <c r="CP21" i="1"/>
  <c r="BY21" i="1"/>
  <c r="CJ21" i="1"/>
  <c r="X21" i="1"/>
  <c r="CQ21" i="1"/>
  <c r="AE21" i="1"/>
  <c r="BZ21" i="1"/>
  <c r="N21" i="1"/>
  <c r="BI21" i="1"/>
  <c r="CB21" i="1"/>
  <c r="P21" i="1"/>
  <c r="CI21" i="1"/>
  <c r="W21" i="1"/>
  <c r="BR21" i="1"/>
  <c r="F21" i="1"/>
  <c r="BA21" i="1"/>
  <c r="BX21" i="1"/>
  <c r="CL21" i="1"/>
  <c r="Z21" i="1"/>
  <c r="BM21" i="1"/>
  <c r="AZ21" i="1"/>
  <c r="BC21" i="1"/>
  <c r="BF21" i="1"/>
  <c r="BW21" i="1"/>
  <c r="BT21" i="1"/>
  <c r="CA21" i="1"/>
  <c r="BP21" i="1"/>
  <c r="R21" i="1"/>
  <c r="BH21" i="1"/>
  <c r="BS21" i="1"/>
  <c r="G21" i="1"/>
  <c r="BB21" i="1"/>
  <c r="BG21" i="1"/>
  <c r="AK21" i="1"/>
  <c r="L21" i="1"/>
  <c r="BV21" i="1"/>
  <c r="J21" i="1"/>
  <c r="AW21" i="1"/>
  <c r="BO21" i="1"/>
  <c r="CR21" i="1"/>
  <c r="O21" i="1"/>
  <c r="BJ21" i="1"/>
  <c r="AS21" i="1"/>
  <c r="AJ21" i="1"/>
  <c r="CD21" i="1"/>
  <c r="BE21" i="1"/>
  <c r="AB21" i="1"/>
  <c r="BL21" i="1"/>
  <c r="BD21" i="1"/>
  <c r="AR21" i="1"/>
  <c r="BK21" i="1"/>
  <c r="CF21" i="1"/>
  <c r="AT21" i="1"/>
  <c r="CO21" i="1"/>
  <c r="AC21" i="1"/>
  <c r="CE21" i="1"/>
  <c r="BN21" i="1"/>
  <c r="CM21" i="1"/>
  <c r="AO21" i="1"/>
  <c r="S21" i="1"/>
  <c r="CG21" i="1"/>
  <c r="E15" i="1"/>
  <c r="F14" i="1"/>
  <c r="F35" i="1" l="1"/>
  <c r="G34" i="1"/>
  <c r="G27" i="1"/>
  <c r="G28" i="1" s="1"/>
  <c r="F28" i="1"/>
  <c r="F15" i="1"/>
  <c r="G14" i="1"/>
  <c r="G15" i="1" s="1"/>
  <c r="H70" i="1" l="1"/>
  <c r="I70" i="1" s="1"/>
  <c r="G35" i="1"/>
  <c r="H34" i="1"/>
  <c r="H27" i="1"/>
  <c r="H14" i="1"/>
  <c r="H15" i="1" s="1"/>
  <c r="I34" i="1" l="1"/>
  <c r="H35" i="1"/>
  <c r="I27" i="1"/>
  <c r="H28" i="1"/>
  <c r="I14" i="1"/>
  <c r="I35" i="1" l="1"/>
  <c r="J34" i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J27" i="1"/>
  <c r="I28" i="1"/>
  <c r="J14" i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I15" i="1"/>
  <c r="J15" i="1" l="1"/>
  <c r="L15" i="1"/>
  <c r="J35" i="1"/>
  <c r="K15" i="1"/>
  <c r="Q35" i="1"/>
  <c r="P35" i="1"/>
  <c r="L35" i="1"/>
  <c r="O35" i="1"/>
  <c r="K35" i="1"/>
  <c r="Q15" i="1"/>
  <c r="N15" i="1"/>
  <c r="P15" i="1"/>
  <c r="O15" i="1"/>
  <c r="T35" i="1"/>
  <c r="AD35" i="1"/>
  <c r="V35" i="1"/>
  <c r="R15" i="1"/>
  <c r="AB35" i="1"/>
  <c r="S15" i="1"/>
  <c r="W35" i="1"/>
  <c r="Z35" i="1"/>
  <c r="M15" i="1"/>
  <c r="N35" i="1"/>
  <c r="AI35" i="1"/>
  <c r="AF35" i="1"/>
  <c r="AA35" i="1"/>
  <c r="R35" i="1"/>
  <c r="M35" i="1"/>
  <c r="AH35" i="1"/>
  <c r="AM35" i="1"/>
  <c r="AG35" i="1"/>
  <c r="AL35" i="1"/>
  <c r="AK35" i="1"/>
  <c r="AC35" i="1"/>
  <c r="S35" i="1"/>
  <c r="AE35" i="1"/>
  <c r="Y35" i="1"/>
  <c r="AJ35" i="1"/>
  <c r="U35" i="1"/>
  <c r="X35" i="1"/>
  <c r="K27" i="1"/>
  <c r="K28" i="1" s="1"/>
  <c r="J28" i="1"/>
  <c r="U14" i="1"/>
  <c r="T15" i="1"/>
  <c r="AN35" i="1" l="1"/>
  <c r="L27" i="1"/>
  <c r="L28" i="1" s="1"/>
  <c r="V14" i="1"/>
  <c r="U15" i="1"/>
  <c r="AO35" i="1" l="1"/>
  <c r="M27" i="1"/>
  <c r="W14" i="1"/>
  <c r="V15" i="1"/>
  <c r="AP35" i="1" l="1"/>
  <c r="N27" i="1"/>
  <c r="M28" i="1"/>
  <c r="X14" i="1"/>
  <c r="W15" i="1"/>
  <c r="AQ35" i="1" l="1"/>
  <c r="O27" i="1"/>
  <c r="N28" i="1"/>
  <c r="Y14" i="1"/>
  <c r="X15" i="1"/>
  <c r="AR35" i="1" l="1"/>
  <c r="P27" i="1"/>
  <c r="O28" i="1"/>
  <c r="Z14" i="1"/>
  <c r="Y15" i="1"/>
  <c r="AS35" i="1" l="1"/>
  <c r="Q27" i="1"/>
  <c r="P28" i="1"/>
  <c r="AA14" i="1"/>
  <c r="Z15" i="1"/>
  <c r="AT35" i="1" l="1"/>
  <c r="R27" i="1"/>
  <c r="Q28" i="1"/>
  <c r="AB14" i="1"/>
  <c r="AA15" i="1"/>
  <c r="AU35" i="1" l="1"/>
  <c r="S27" i="1"/>
  <c r="R28" i="1"/>
  <c r="AC14" i="1"/>
  <c r="AB15" i="1"/>
  <c r="AV35" i="1" l="1"/>
  <c r="T27" i="1"/>
  <c r="S28" i="1"/>
  <c r="AD14" i="1"/>
  <c r="AC15" i="1"/>
  <c r="AW35" i="1" l="1"/>
  <c r="U27" i="1"/>
  <c r="T28" i="1"/>
  <c r="AE14" i="1"/>
  <c r="AD15" i="1"/>
  <c r="AX35" i="1" l="1"/>
  <c r="V27" i="1"/>
  <c r="U28" i="1"/>
  <c r="AF14" i="1"/>
  <c r="AE15" i="1"/>
  <c r="AY35" i="1" l="1"/>
  <c r="W27" i="1"/>
  <c r="V28" i="1"/>
  <c r="AG14" i="1"/>
  <c r="AF15" i="1"/>
  <c r="AZ35" i="1" l="1"/>
  <c r="X27" i="1"/>
  <c r="W28" i="1"/>
  <c r="AH14" i="1"/>
  <c r="AG15" i="1"/>
  <c r="BA35" i="1" l="1"/>
  <c r="Y27" i="1"/>
  <c r="X28" i="1"/>
  <c r="AI14" i="1"/>
  <c r="AH15" i="1"/>
  <c r="BB35" i="1" l="1"/>
  <c r="Z27" i="1"/>
  <c r="Y28" i="1"/>
  <c r="AJ14" i="1"/>
  <c r="AI15" i="1"/>
  <c r="BC35" i="1" l="1"/>
  <c r="AA27" i="1"/>
  <c r="Z28" i="1"/>
  <c r="AK14" i="1"/>
  <c r="AJ15" i="1"/>
  <c r="BD35" i="1" l="1"/>
  <c r="AB27" i="1"/>
  <c r="AA28" i="1"/>
  <c r="AL14" i="1"/>
  <c r="AK15" i="1"/>
  <c r="BE35" i="1" l="1"/>
  <c r="AC27" i="1"/>
  <c r="AB28" i="1"/>
  <c r="AM14" i="1"/>
  <c r="AL15" i="1"/>
  <c r="BF35" i="1" l="1"/>
  <c r="AD27" i="1"/>
  <c r="AC28" i="1"/>
  <c r="AN14" i="1"/>
  <c r="AM15" i="1"/>
  <c r="BG35" i="1" l="1"/>
  <c r="AE27" i="1"/>
  <c r="AD28" i="1"/>
  <c r="AO14" i="1"/>
  <c r="AN15" i="1"/>
  <c r="BH35" i="1" l="1"/>
  <c r="AF27" i="1"/>
  <c r="AE28" i="1"/>
  <c r="AP14" i="1"/>
  <c r="AO15" i="1"/>
  <c r="BI35" i="1" l="1"/>
  <c r="AG27" i="1"/>
  <c r="AF28" i="1"/>
  <c r="AQ14" i="1"/>
  <c r="AP15" i="1"/>
  <c r="BJ35" i="1" l="1"/>
  <c r="AH27" i="1"/>
  <c r="AG28" i="1"/>
  <c r="AR14" i="1"/>
  <c r="AQ15" i="1"/>
  <c r="BK35" i="1" l="1"/>
  <c r="AI27" i="1"/>
  <c r="AH28" i="1"/>
  <c r="AS14" i="1"/>
  <c r="AR15" i="1"/>
  <c r="BL35" i="1" l="1"/>
  <c r="AJ27" i="1"/>
  <c r="AI28" i="1"/>
  <c r="AT14" i="1"/>
  <c r="AS15" i="1"/>
  <c r="BM35" i="1" l="1"/>
  <c r="AK27" i="1"/>
  <c r="AJ28" i="1"/>
  <c r="AU14" i="1"/>
  <c r="AT15" i="1"/>
  <c r="BN35" i="1" l="1"/>
  <c r="AL27" i="1"/>
  <c r="AK28" i="1"/>
  <c r="AV14" i="1"/>
  <c r="AU15" i="1"/>
  <c r="BO35" i="1" l="1"/>
  <c r="AM27" i="1"/>
  <c r="AL28" i="1"/>
  <c r="AW14" i="1"/>
  <c r="AV15" i="1"/>
  <c r="BP35" i="1" l="1"/>
  <c r="AN27" i="1"/>
  <c r="AM28" i="1"/>
  <c r="AX14" i="1"/>
  <c r="AW15" i="1"/>
  <c r="BQ35" i="1" l="1"/>
  <c r="AO27" i="1"/>
  <c r="AN28" i="1"/>
  <c r="AY14" i="1"/>
  <c r="AX15" i="1"/>
  <c r="BR35" i="1" l="1"/>
  <c r="AP27" i="1"/>
  <c r="AO28" i="1"/>
  <c r="AZ14" i="1"/>
  <c r="AY15" i="1"/>
  <c r="BS35" i="1" l="1"/>
  <c r="AQ27" i="1"/>
  <c r="AP28" i="1"/>
  <c r="BA14" i="1"/>
  <c r="AZ15" i="1"/>
  <c r="BT35" i="1" l="1"/>
  <c r="AR27" i="1"/>
  <c r="AQ28" i="1"/>
  <c r="BB14" i="1"/>
  <c r="BA15" i="1"/>
  <c r="BU35" i="1" l="1"/>
  <c r="AS27" i="1"/>
  <c r="AR28" i="1"/>
  <c r="BC14" i="1"/>
  <c r="BB15" i="1"/>
  <c r="BV35" i="1" l="1"/>
  <c r="AT27" i="1"/>
  <c r="AS28" i="1"/>
  <c r="BD14" i="1"/>
  <c r="BC15" i="1"/>
  <c r="BW35" i="1" l="1"/>
  <c r="AU27" i="1"/>
  <c r="AT28" i="1"/>
  <c r="BE14" i="1"/>
  <c r="BD15" i="1"/>
  <c r="BX35" i="1" l="1"/>
  <c r="AV27" i="1"/>
  <c r="AU28" i="1"/>
  <c r="BF14" i="1"/>
  <c r="BE15" i="1"/>
  <c r="BY35" i="1" l="1"/>
  <c r="AW27" i="1"/>
  <c r="AV28" i="1"/>
  <c r="BG14" i="1"/>
  <c r="BF15" i="1"/>
  <c r="CA34" i="1" l="1"/>
  <c r="BZ35" i="1"/>
  <c r="AX27" i="1"/>
  <c r="AW28" i="1"/>
  <c r="BH14" i="1"/>
  <c r="BG15" i="1"/>
  <c r="CB34" i="1" l="1"/>
  <c r="CA35" i="1"/>
  <c r="AY27" i="1"/>
  <c r="AX28" i="1"/>
  <c r="BI14" i="1"/>
  <c r="BH15" i="1"/>
  <c r="CC34" i="1" l="1"/>
  <c r="CB35" i="1"/>
  <c r="AZ27" i="1"/>
  <c r="AY28" i="1"/>
  <c r="BJ14" i="1"/>
  <c r="BI15" i="1"/>
  <c r="CD34" i="1" l="1"/>
  <c r="CC35" i="1"/>
  <c r="BA27" i="1"/>
  <c r="AZ28" i="1"/>
  <c r="BK14" i="1"/>
  <c r="BJ15" i="1"/>
  <c r="CE34" i="1" l="1"/>
  <c r="CD35" i="1"/>
  <c r="BB27" i="1"/>
  <c r="BA28" i="1"/>
  <c r="BL14" i="1"/>
  <c r="BK15" i="1"/>
  <c r="CF34" i="1" l="1"/>
  <c r="CE35" i="1"/>
  <c r="BC27" i="1"/>
  <c r="BB28" i="1"/>
  <c r="BM14" i="1"/>
  <c r="BL15" i="1"/>
  <c r="CG34" i="1" l="1"/>
  <c r="CF35" i="1"/>
  <c r="BD27" i="1"/>
  <c r="BC28" i="1"/>
  <c r="BN14" i="1"/>
  <c r="BM15" i="1"/>
  <c r="CH34" i="1" l="1"/>
  <c r="CG35" i="1"/>
  <c r="BE27" i="1"/>
  <c r="BD28" i="1"/>
  <c r="BO14" i="1"/>
  <c r="BN15" i="1"/>
  <c r="CI34" i="1" l="1"/>
  <c r="CH35" i="1"/>
  <c r="BF27" i="1"/>
  <c r="BE28" i="1"/>
  <c r="BP14" i="1"/>
  <c r="BO15" i="1"/>
  <c r="CJ34" i="1" l="1"/>
  <c r="CI35" i="1"/>
  <c r="BG27" i="1"/>
  <c r="BF28" i="1"/>
  <c r="BQ14" i="1"/>
  <c r="BP15" i="1"/>
  <c r="CK34" i="1" l="1"/>
  <c r="CJ35" i="1"/>
  <c r="BH27" i="1"/>
  <c r="BG28" i="1"/>
  <c r="BR14" i="1"/>
  <c r="BQ15" i="1"/>
  <c r="CL34" i="1" l="1"/>
  <c r="CK35" i="1"/>
  <c r="BI27" i="1"/>
  <c r="BH28" i="1"/>
  <c r="BS14" i="1"/>
  <c r="BR15" i="1"/>
  <c r="CM34" i="1" l="1"/>
  <c r="CL35" i="1"/>
  <c r="BJ27" i="1"/>
  <c r="BI28" i="1"/>
  <c r="BT14" i="1"/>
  <c r="BS15" i="1"/>
  <c r="CN34" i="1" l="1"/>
  <c r="CM35" i="1"/>
  <c r="BK27" i="1"/>
  <c r="BJ28" i="1"/>
  <c r="BU14" i="1"/>
  <c r="BT15" i="1"/>
  <c r="CO34" i="1" l="1"/>
  <c r="CN35" i="1"/>
  <c r="BL27" i="1"/>
  <c r="BK28" i="1"/>
  <c r="BV14" i="1"/>
  <c r="BU15" i="1"/>
  <c r="CP34" i="1" l="1"/>
  <c r="CO35" i="1"/>
  <c r="BM27" i="1"/>
  <c r="BL28" i="1"/>
  <c r="BW14" i="1"/>
  <c r="BV15" i="1"/>
  <c r="CQ34" i="1" l="1"/>
  <c r="CP35" i="1"/>
  <c r="BN27" i="1"/>
  <c r="BM28" i="1"/>
  <c r="BX14" i="1"/>
  <c r="BW15" i="1"/>
  <c r="CR34" i="1" l="1"/>
  <c r="CQ35" i="1"/>
  <c r="BO27" i="1"/>
  <c r="BN28" i="1"/>
  <c r="BY14" i="1"/>
  <c r="BX15" i="1"/>
  <c r="CS34" i="1" l="1"/>
  <c r="CR35" i="1"/>
  <c r="BP27" i="1"/>
  <c r="BO28" i="1"/>
  <c r="BZ14" i="1"/>
  <c r="BY15" i="1"/>
  <c r="CT34" i="1" l="1"/>
  <c r="CS35" i="1"/>
  <c r="BQ27" i="1"/>
  <c r="BP28" i="1"/>
  <c r="CA14" i="1"/>
  <c r="BZ15" i="1"/>
  <c r="CU34" i="1" l="1"/>
  <c r="CT35" i="1"/>
  <c r="BR27" i="1"/>
  <c r="BQ28" i="1"/>
  <c r="CB14" i="1"/>
  <c r="CA15" i="1"/>
  <c r="CV34" i="1" l="1"/>
  <c r="CU35" i="1"/>
  <c r="BS27" i="1"/>
  <c r="BR28" i="1"/>
  <c r="CC14" i="1"/>
  <c r="CB15" i="1"/>
  <c r="CW34" i="1" l="1"/>
  <c r="CV35" i="1"/>
  <c r="BT27" i="1"/>
  <c r="BS28" i="1"/>
  <c r="CD14" i="1"/>
  <c r="CC15" i="1"/>
  <c r="CX34" i="1" l="1"/>
  <c r="CW35" i="1"/>
  <c r="BU27" i="1"/>
  <c r="BT28" i="1"/>
  <c r="CE14" i="1"/>
  <c r="CD15" i="1"/>
  <c r="CY34" i="1" l="1"/>
  <c r="CX35" i="1"/>
  <c r="BV27" i="1"/>
  <c r="BU28" i="1"/>
  <c r="CF14" i="1"/>
  <c r="CE15" i="1"/>
  <c r="BW27" i="1" l="1"/>
  <c r="BV28" i="1"/>
  <c r="CG14" i="1"/>
  <c r="CF15" i="1"/>
  <c r="BX27" i="1" l="1"/>
  <c r="BW28" i="1"/>
  <c r="CH14" i="1"/>
  <c r="CG15" i="1"/>
  <c r="BY27" i="1" l="1"/>
  <c r="BX28" i="1"/>
  <c r="CI14" i="1"/>
  <c r="CH15" i="1"/>
  <c r="BZ27" i="1" l="1"/>
  <c r="BY28" i="1"/>
  <c r="CJ14" i="1"/>
  <c r="CI15" i="1"/>
  <c r="CA27" i="1" l="1"/>
  <c r="BZ28" i="1"/>
  <c r="CK14" i="1"/>
  <c r="CJ15" i="1"/>
  <c r="CB27" i="1" l="1"/>
  <c r="CA28" i="1"/>
  <c r="CL14" i="1"/>
  <c r="CK15" i="1"/>
  <c r="CC27" i="1" l="1"/>
  <c r="CB28" i="1"/>
  <c r="CM14" i="1"/>
  <c r="CL15" i="1"/>
  <c r="CD27" i="1" l="1"/>
  <c r="CC28" i="1"/>
  <c r="CN14" i="1"/>
  <c r="CM15" i="1"/>
  <c r="CE27" i="1" l="1"/>
  <c r="CD28" i="1"/>
  <c r="CO14" i="1"/>
  <c r="CN15" i="1"/>
  <c r="CF27" i="1" l="1"/>
  <c r="CE28" i="1"/>
  <c r="CP14" i="1"/>
  <c r="CO15" i="1"/>
  <c r="CG27" i="1" l="1"/>
  <c r="CF28" i="1"/>
  <c r="CQ14" i="1"/>
  <c r="CP15" i="1"/>
  <c r="CH27" i="1" l="1"/>
  <c r="CG28" i="1"/>
  <c r="CR14" i="1"/>
  <c r="CQ15" i="1"/>
  <c r="CI27" i="1" l="1"/>
  <c r="CH28" i="1"/>
  <c r="CS14" i="1"/>
  <c r="CT14" i="1" s="1"/>
  <c r="CU14" i="1" s="1"/>
  <c r="CR15" i="1"/>
  <c r="CJ27" i="1" l="1"/>
  <c r="CI28" i="1"/>
  <c r="CK27" i="1" l="1"/>
  <c r="CJ28" i="1"/>
  <c r="CL27" i="1" l="1"/>
  <c r="CK28" i="1"/>
  <c r="CM27" i="1" l="1"/>
  <c r="CL28" i="1"/>
  <c r="CN27" i="1" l="1"/>
  <c r="CM28" i="1"/>
  <c r="CO27" i="1" l="1"/>
  <c r="CN28" i="1"/>
  <c r="CP27" i="1" l="1"/>
  <c r="CO28" i="1"/>
  <c r="CQ27" i="1" l="1"/>
  <c r="CP28" i="1"/>
  <c r="CR27" i="1" l="1"/>
  <c r="CQ28" i="1"/>
  <c r="CS27" i="1" l="1"/>
  <c r="CT27" i="1" s="1"/>
  <c r="CU27" i="1" s="1"/>
  <c r="CR28" i="1"/>
</calcChain>
</file>

<file path=xl/sharedStrings.xml><?xml version="1.0" encoding="utf-8"?>
<sst xmlns="http://schemas.openxmlformats.org/spreadsheetml/2006/main" count="73" uniqueCount="42">
  <si>
    <t>Example</t>
  </si>
  <si>
    <t>Year</t>
  </si>
  <si>
    <t>IRR</t>
  </si>
  <si>
    <t>Age</t>
  </si>
  <si>
    <t>After 20yrs</t>
    <phoneticPr fontId="2" type="noConversion"/>
  </si>
  <si>
    <t>After 30yrs</t>
    <phoneticPr fontId="2" type="noConversion"/>
  </si>
  <si>
    <t>Withdrawal</t>
    <phoneticPr fontId="2" type="noConversion"/>
  </si>
  <si>
    <t>After 40yrs</t>
    <phoneticPr fontId="2" type="noConversion"/>
  </si>
  <si>
    <t>After 50yrs</t>
    <phoneticPr fontId="2" type="noConversion"/>
  </si>
  <si>
    <t>年繳</t>
    <phoneticPr fontId="2" type="noConversion"/>
  </si>
  <si>
    <t>USD</t>
    <phoneticPr fontId="2" type="noConversion"/>
  </si>
  <si>
    <t>RMB</t>
    <phoneticPr fontId="2" type="noConversion"/>
  </si>
  <si>
    <t>1st</t>
    <phoneticPr fontId="2" type="noConversion"/>
  </si>
  <si>
    <t>2nd</t>
    <phoneticPr fontId="2" type="noConversion"/>
  </si>
  <si>
    <t>3rd</t>
    <phoneticPr fontId="2" type="noConversion"/>
  </si>
  <si>
    <t>4th</t>
    <phoneticPr fontId="2" type="noConversion"/>
  </si>
  <si>
    <t>--</t>
    <phoneticPr fontId="2" type="noConversion"/>
  </si>
  <si>
    <t>保费回赠</t>
    <phoneticPr fontId="2" type="noConversion"/>
  </si>
  <si>
    <t>每年提取</t>
    <phoneticPr fontId="2" type="noConversion"/>
  </si>
  <si>
    <t>一生共提取</t>
    <phoneticPr fontId="2" type="noConversion"/>
  </si>
  <si>
    <t>倍數</t>
    <phoneticPr fontId="2" type="noConversion"/>
  </si>
  <si>
    <t>現金劵</t>
    <phoneticPr fontId="2" type="noConversion"/>
  </si>
  <si>
    <t>總優惠</t>
    <phoneticPr fontId="2" type="noConversion"/>
  </si>
  <si>
    <t>100歲一次性提取</t>
    <phoneticPr fontId="2" type="noConversion"/>
  </si>
  <si>
    <t>,</t>
    <phoneticPr fontId="2" type="noConversion"/>
  </si>
  <si>
    <t>https://www.aia.com.hk/zh-hk/campaigns/smart-calculator.html</t>
    <phoneticPr fontId="2" type="noConversion"/>
  </si>
  <si>
    <t>Coupon Calculator</t>
    <phoneticPr fontId="2" type="noConversion"/>
  </si>
  <si>
    <t>GP/GF</t>
    <phoneticPr fontId="2" type="noConversion"/>
  </si>
  <si>
    <t>保單年度</t>
    <phoneticPr fontId="2" type="noConversion"/>
  </si>
  <si>
    <t>受保人</t>
    <phoneticPr fontId="2" type="noConversion"/>
  </si>
  <si>
    <t>投保人</t>
    <phoneticPr fontId="2" type="noConversion"/>
  </si>
  <si>
    <r>
      <rPr>
        <sz val="12"/>
        <color theme="1"/>
        <rFont val="細明體"/>
        <family val="2"/>
        <charset val="136"/>
      </rPr>
      <t>提取年期</t>
    </r>
    <phoneticPr fontId="2" type="noConversion"/>
  </si>
  <si>
    <r>
      <rPr>
        <sz val="12"/>
        <color theme="1"/>
        <rFont val="細明體"/>
        <family val="2"/>
        <charset val="136"/>
      </rPr>
      <t>保费回赠</t>
    </r>
    <phoneticPr fontId="2" type="noConversion"/>
  </si>
  <si>
    <r>
      <rPr>
        <sz val="12"/>
        <color theme="1"/>
        <rFont val="細明體"/>
        <family val="2"/>
        <charset val="136"/>
      </rPr>
      <t>扣減需繳保費</t>
    </r>
    <phoneticPr fontId="2" type="noConversion"/>
  </si>
  <si>
    <r>
      <rPr>
        <sz val="12"/>
        <color theme="1"/>
        <rFont val="細明體"/>
        <family val="2"/>
        <charset val="136"/>
      </rPr>
      <t>預繳</t>
    </r>
    <r>
      <rPr>
        <sz val="12"/>
        <color theme="1"/>
        <rFont val="Calibri"/>
        <family val="2"/>
      </rPr>
      <t>1</t>
    </r>
    <r>
      <rPr>
        <sz val="12"/>
        <color theme="1"/>
        <rFont val="細明體"/>
        <family val="2"/>
        <charset val="136"/>
      </rPr>
      <t>年優惠</t>
    </r>
    <phoneticPr fontId="2" type="noConversion"/>
  </si>
  <si>
    <r>
      <rPr>
        <sz val="12"/>
        <color theme="1"/>
        <rFont val="細明體"/>
        <family val="2"/>
        <charset val="136"/>
      </rPr>
      <t>預繳</t>
    </r>
    <r>
      <rPr>
        <sz val="12"/>
        <color theme="1"/>
        <rFont val="Calibri"/>
        <family val="2"/>
      </rPr>
      <t>4</t>
    </r>
    <r>
      <rPr>
        <sz val="12"/>
        <color theme="1"/>
        <rFont val="細明體"/>
        <family val="2"/>
        <charset val="136"/>
      </rPr>
      <t>年優惠</t>
    </r>
    <phoneticPr fontId="2" type="noConversion"/>
  </si>
  <si>
    <r>
      <rPr>
        <sz val="12"/>
        <color theme="1"/>
        <rFont val="細明體"/>
        <family val="2"/>
        <charset val="136"/>
      </rPr>
      <t>利息</t>
    </r>
    <phoneticPr fontId="2" type="noConversion"/>
  </si>
  <si>
    <r>
      <rPr>
        <sz val="12"/>
        <color theme="1"/>
        <rFont val="細明體"/>
        <family val="2"/>
        <charset val="136"/>
      </rPr>
      <t>保費優惠</t>
    </r>
    <r>
      <rPr>
        <sz val="12"/>
        <color theme="1"/>
        <rFont val="Calibri"/>
        <family val="2"/>
      </rPr>
      <t>+</t>
    </r>
    <r>
      <rPr>
        <sz val="12"/>
        <color theme="1"/>
        <rFont val="細明體"/>
        <family val="2"/>
        <charset val="136"/>
      </rPr>
      <t>預繳</t>
    </r>
    <r>
      <rPr>
        <sz val="12"/>
        <color theme="1"/>
        <rFont val="Calibri"/>
        <family val="2"/>
      </rPr>
      <t>1</t>
    </r>
    <r>
      <rPr>
        <sz val="12"/>
        <color theme="1"/>
        <rFont val="細明體"/>
        <family val="2"/>
        <charset val="136"/>
      </rPr>
      <t>年</t>
    </r>
    <phoneticPr fontId="2" type="noConversion"/>
  </si>
  <si>
    <r>
      <rPr>
        <sz val="12"/>
        <color theme="1"/>
        <rFont val="細明體"/>
        <family val="2"/>
        <charset val="136"/>
      </rPr>
      <t>保費優惠</t>
    </r>
    <r>
      <rPr>
        <sz val="12"/>
        <color theme="1"/>
        <rFont val="Calibri"/>
        <family val="2"/>
      </rPr>
      <t>+</t>
    </r>
    <r>
      <rPr>
        <sz val="12"/>
        <color theme="1"/>
        <rFont val="細明體"/>
        <family val="2"/>
        <charset val="136"/>
      </rPr>
      <t>預繳</t>
    </r>
    <r>
      <rPr>
        <sz val="12"/>
        <color theme="1"/>
        <rFont val="Calibri"/>
        <family val="2"/>
      </rPr>
      <t>4</t>
    </r>
    <r>
      <rPr>
        <sz val="12"/>
        <color theme="1"/>
        <rFont val="細明體"/>
        <family val="2"/>
        <charset val="136"/>
      </rPr>
      <t>年</t>
    </r>
    <phoneticPr fontId="2" type="noConversion"/>
  </si>
  <si>
    <r>
      <rPr>
        <sz val="12"/>
        <color theme="1"/>
        <rFont val="細明體"/>
        <family val="2"/>
        <charset val="136"/>
      </rPr>
      <t>總利息優惠</t>
    </r>
    <phoneticPr fontId="2" type="noConversion"/>
  </si>
  <si>
    <t>5年共繳</t>
    <phoneticPr fontId="2" type="noConversion"/>
  </si>
  <si>
    <t>3年共繳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</si>
</sst>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.00_-;\-* #,##0.00_-;_-* &quot;-&quot;??_-;_-@_-"/>
    <numFmt numFmtId="177" formatCode="_-* #,##0.0_-;\-* #,##0.0_-;_-* &quot;-&quot;??_-;_-@_-"/>
    <numFmt numFmtId="178" formatCode="_-* #,##0_-;\-* #,##0_-;_-* &quot;-&quot;??_-;_-@_-"/>
    <numFmt numFmtId="179" formatCode="#,##0_ "/>
    <numFmt numFmtId="180" formatCode="0.0%"/>
    <numFmt numFmtId="181" formatCode="#,##0.0_ "/>
    <numFmt numFmtId="182" formatCode="#,##0.00_ "/>
  </numFmts>
  <fonts count="14" x14ac:knownFonts="1">
    <font>
      <sz val="12"/>
      <color theme="1"/>
      <name val="新細明體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0"/>
      <name val="Calibri"/>
      <family val="2"/>
    </font>
    <font>
      <sz val="10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細明體"/>
      <family val="2"/>
      <charset val="136"/>
    </font>
    <font>
      <u/>
      <sz val="12"/>
      <color theme="10"/>
      <name val="新細明體"/>
      <family val="1"/>
      <charset val="136"/>
      <scheme val="minor"/>
    </font>
    <font>
      <u/>
      <sz val="10"/>
      <color theme="10"/>
      <name val="Calibri"/>
      <family val="2"/>
    </font>
    <font>
      <b/>
      <sz val="12"/>
      <color theme="0"/>
      <name val="Calibri"/>
      <family val="2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5" fillId="4" borderId="0" xfId="0" applyFont="1" applyFill="1">
      <alignment vertical="center"/>
    </xf>
    <xf numFmtId="0" fontId="4" fillId="0" borderId="0" xfId="0" applyFont="1">
      <alignment vertical="center"/>
    </xf>
    <xf numFmtId="10" fontId="4" fillId="0" borderId="0" xfId="0" applyNumberFormat="1" applyFont="1">
      <alignment vertical="center"/>
    </xf>
    <xf numFmtId="176" fontId="4" fillId="0" borderId="0" xfId="1" applyFont="1">
      <alignment vertical="center"/>
    </xf>
    <xf numFmtId="178" fontId="4" fillId="0" borderId="0" xfId="1" applyNumberFormat="1" applyFont="1">
      <alignment vertical="center"/>
    </xf>
    <xf numFmtId="0" fontId="4" fillId="3" borderId="0" xfId="0" applyFont="1" applyFill="1">
      <alignment vertical="center"/>
    </xf>
    <xf numFmtId="177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6" fillId="0" borderId="0" xfId="0" applyFont="1">
      <alignment vertical="center"/>
    </xf>
    <xf numFmtId="179" fontId="4" fillId="0" borderId="0" xfId="0" applyNumberFormat="1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9" fontId="7" fillId="2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80" fontId="4" fillId="0" borderId="1" xfId="0" quotePrefix="1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8" fontId="7" fillId="2" borderId="1" xfId="0" applyNumberFormat="1" applyFont="1" applyFill="1" applyBorder="1" applyAlignment="1">
      <alignment horizontal="center" vertical="center"/>
    </xf>
    <xf numFmtId="38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7" borderId="1" xfId="0" applyNumberFormat="1" applyFont="1" applyFill="1" applyBorder="1" applyAlignment="1">
      <alignment horizontal="center" vertical="center"/>
    </xf>
    <xf numFmtId="38" fontId="4" fillId="0" borderId="0" xfId="0" applyNumberFormat="1" applyFont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8" fontId="4" fillId="8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179" fontId="4" fillId="8" borderId="1" xfId="0" applyNumberFormat="1" applyFont="1" applyFill="1" applyBorder="1" applyAlignment="1">
      <alignment horizontal="center" vertical="center"/>
    </xf>
    <xf numFmtId="179" fontId="4" fillId="0" borderId="0" xfId="1" applyNumberFormat="1" applyFont="1">
      <alignment vertical="center"/>
    </xf>
    <xf numFmtId="0" fontId="10" fillId="0" borderId="0" xfId="2" applyFont="1">
      <alignment vertical="center"/>
    </xf>
    <xf numFmtId="0" fontId="11" fillId="9" borderId="0" xfId="0" applyFont="1" applyFill="1">
      <alignment vertical="center"/>
    </xf>
    <xf numFmtId="182" fontId="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80" fontId="7" fillId="2" borderId="4" xfId="0" applyNumberFormat="1" applyFont="1" applyFill="1" applyBorder="1" applyAlignment="1">
      <alignment horizontal="center" vertical="center"/>
    </xf>
    <xf numFmtId="180" fontId="7" fillId="2" borderId="5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9" fontId="7" fillId="2" borderId="7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3">
    <cellStyle name="一般" xfId="0" builtinId="0"/>
    <cellStyle name="千分位" xfId="1" builtinId="3"/>
    <cellStyle name="超連結" xfId="2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a.com.hk/zh-hk/campaigns/smart-calculat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82"/>
  <sheetViews>
    <sheetView topLeftCell="A37" zoomScale="70" zoomScaleNormal="70" workbookViewId="0">
      <pane xSplit="2" topLeftCell="C1" activePane="topRight" state="frozen"/>
      <selection pane="topRight" activeCell="J69" sqref="J68:J69"/>
    </sheetView>
  </sheetViews>
  <sheetFormatPr defaultColWidth="9" defaultRowHeight="15.75" x14ac:dyDescent="0.25"/>
  <cols>
    <col min="1" max="1" width="11.375" style="4" customWidth="1"/>
    <col min="2" max="2" width="19.625" style="4" bestFit="1" customWidth="1"/>
    <col min="3" max="7" width="14" style="4" customWidth="1"/>
    <col min="8" max="82" width="12.625" style="4" customWidth="1"/>
    <col min="83" max="83" width="15.25" style="4" bestFit="1" customWidth="1"/>
    <col min="84" max="84" width="12.625" style="4" customWidth="1"/>
    <col min="85" max="85" width="15.25" style="4" bestFit="1" customWidth="1"/>
    <col min="86" max="102" width="12.625" style="4" customWidth="1"/>
    <col min="103" max="103" width="15.25" style="4" bestFit="1" customWidth="1"/>
    <col min="104" max="105" width="12.625" style="4" customWidth="1"/>
    <col min="106" max="16384" width="9" style="4"/>
  </cols>
  <sheetData>
    <row r="1" spans="1:105" s="1" customFormat="1" x14ac:dyDescent="0.25">
      <c r="A1" s="1" t="s">
        <v>0</v>
      </c>
    </row>
    <row r="2" spans="1:105" s="2" customFormat="1" x14ac:dyDescent="0.25">
      <c r="A2" s="2" t="s">
        <v>1</v>
      </c>
      <c r="B2" s="3" t="s">
        <v>2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  <c r="AI2" s="2">
        <v>33</v>
      </c>
      <c r="AJ2" s="2">
        <v>34</v>
      </c>
      <c r="AK2" s="2">
        <v>35</v>
      </c>
      <c r="AL2" s="2">
        <v>36</v>
      </c>
      <c r="AM2" s="2">
        <v>37</v>
      </c>
      <c r="AN2" s="2">
        <v>38</v>
      </c>
      <c r="AO2" s="2">
        <v>39</v>
      </c>
      <c r="AP2" s="2">
        <v>40</v>
      </c>
      <c r="AQ2" s="2">
        <v>41</v>
      </c>
      <c r="AR2" s="2">
        <v>42</v>
      </c>
      <c r="AS2" s="2">
        <v>43</v>
      </c>
      <c r="AT2" s="2">
        <v>44</v>
      </c>
      <c r="AU2" s="2">
        <v>45</v>
      </c>
      <c r="AV2" s="2">
        <v>46</v>
      </c>
      <c r="AW2" s="2">
        <v>47</v>
      </c>
      <c r="AX2" s="2">
        <v>48</v>
      </c>
      <c r="AY2" s="2">
        <v>49</v>
      </c>
      <c r="AZ2" s="2">
        <v>50</v>
      </c>
      <c r="BA2" s="2">
        <v>51</v>
      </c>
      <c r="BB2" s="2">
        <v>52</v>
      </c>
      <c r="BC2" s="2">
        <v>53</v>
      </c>
      <c r="BD2" s="2">
        <v>54</v>
      </c>
      <c r="BE2" s="2">
        <v>55</v>
      </c>
      <c r="BF2" s="2">
        <v>56</v>
      </c>
      <c r="BG2" s="2">
        <v>57</v>
      </c>
      <c r="BH2" s="2">
        <v>58</v>
      </c>
      <c r="BI2" s="2">
        <v>59</v>
      </c>
      <c r="BJ2" s="2">
        <v>60</v>
      </c>
      <c r="BK2" s="2">
        <v>61</v>
      </c>
      <c r="BL2" s="2">
        <v>62</v>
      </c>
      <c r="BM2" s="2">
        <v>63</v>
      </c>
      <c r="BN2" s="2">
        <v>64</v>
      </c>
      <c r="BO2" s="2">
        <v>65</v>
      </c>
      <c r="BP2" s="2">
        <v>66</v>
      </c>
      <c r="BQ2" s="2">
        <v>67</v>
      </c>
      <c r="BR2" s="2">
        <v>68</v>
      </c>
      <c r="BS2" s="2">
        <v>69</v>
      </c>
    </row>
    <row r="3" spans="1:105" x14ac:dyDescent="0.25">
      <c r="B3" s="5">
        <f>IRR(C3:CE3)</f>
        <v>5.5370498156416481E-2</v>
      </c>
      <c r="C3" s="6">
        <v>-35000</v>
      </c>
      <c r="D3" s="6">
        <v>-35000</v>
      </c>
      <c r="E3" s="6">
        <v>-35000</v>
      </c>
      <c r="F3" s="6">
        <v>-35000</v>
      </c>
      <c r="G3" s="6">
        <v>-35000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60000</v>
      </c>
      <c r="S3" s="6">
        <v>60000</v>
      </c>
      <c r="T3" s="6">
        <v>60000</v>
      </c>
      <c r="U3" s="6">
        <v>60000</v>
      </c>
      <c r="V3" s="6">
        <v>60000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4000</v>
      </c>
      <c r="AE3" s="6">
        <v>4000</v>
      </c>
      <c r="AF3" s="6">
        <v>4000</v>
      </c>
      <c r="AG3" s="6">
        <v>4000</v>
      </c>
      <c r="AH3" s="6">
        <v>4000</v>
      </c>
      <c r="AI3" s="6">
        <v>4000</v>
      </c>
      <c r="AJ3" s="6">
        <v>4000</v>
      </c>
      <c r="AK3" s="6">
        <v>4000</v>
      </c>
      <c r="AL3" s="6">
        <v>4000</v>
      </c>
      <c r="AM3" s="6">
        <v>4000</v>
      </c>
      <c r="AN3" s="6">
        <v>4000</v>
      </c>
      <c r="AO3" s="6">
        <v>4000</v>
      </c>
      <c r="AP3" s="6">
        <v>4000</v>
      </c>
      <c r="AQ3" s="6">
        <v>4000</v>
      </c>
      <c r="AR3" s="6">
        <v>4000</v>
      </c>
      <c r="AS3" s="6">
        <v>4000</v>
      </c>
      <c r="AT3" s="6">
        <v>4000</v>
      </c>
      <c r="AU3" s="6">
        <v>4000</v>
      </c>
      <c r="AV3" s="6">
        <v>4000</v>
      </c>
      <c r="AW3" s="6">
        <v>4000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7">
        <v>1898832</v>
      </c>
    </row>
    <row r="4" spans="1:105" x14ac:dyDescent="0.25">
      <c r="B4" s="5">
        <f>IRR(C4:AG4)</f>
        <v>4.7539513606312367E-2</v>
      </c>
      <c r="C4" s="7">
        <v>-5000</v>
      </c>
      <c r="D4" s="7">
        <v>-5000</v>
      </c>
      <c r="E4" s="7">
        <v>-5000</v>
      </c>
      <c r="F4" s="7">
        <v>-5000</v>
      </c>
      <c r="G4" s="7">
        <v>-5000</v>
      </c>
      <c r="H4" s="7">
        <v>-5000</v>
      </c>
      <c r="I4" s="7">
        <v>-5000</v>
      </c>
      <c r="J4" s="7">
        <v>-5000</v>
      </c>
      <c r="K4" s="7">
        <v>-5000</v>
      </c>
      <c r="L4" s="7">
        <v>-5000</v>
      </c>
      <c r="M4" s="7">
        <v>-5000</v>
      </c>
      <c r="N4" s="7">
        <v>-5000</v>
      </c>
      <c r="O4" s="7">
        <v>-5000</v>
      </c>
      <c r="P4" s="7">
        <v>-5000</v>
      </c>
      <c r="Q4" s="7">
        <v>-5000</v>
      </c>
      <c r="R4" s="7">
        <v>-5000</v>
      </c>
      <c r="S4" s="7">
        <v>-5000</v>
      </c>
      <c r="T4" s="7">
        <v>-5000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251444</v>
      </c>
      <c r="AH4" s="5"/>
      <c r="AI4" s="7"/>
      <c r="AJ4" s="7"/>
      <c r="AK4" s="7"/>
      <c r="AL4" s="7"/>
      <c r="AM4" s="7"/>
      <c r="AN4" s="7"/>
      <c r="AO4" s="7"/>
      <c r="AP4" s="7"/>
      <c r="AQ4" s="7"/>
    </row>
    <row r="5" spans="1:105" x14ac:dyDescent="0.25">
      <c r="B5" s="5">
        <f>IRR(C5:AQ5)</f>
        <v>4.9879102992170354E-2</v>
      </c>
      <c r="C5" s="7">
        <v>-5000</v>
      </c>
      <c r="D5" s="7">
        <v>-5000</v>
      </c>
      <c r="E5" s="7">
        <v>-5000</v>
      </c>
      <c r="F5" s="7">
        <v>-5000</v>
      </c>
      <c r="G5" s="7">
        <v>-5000</v>
      </c>
      <c r="H5" s="7">
        <v>-5000</v>
      </c>
      <c r="I5" s="7">
        <v>-5000</v>
      </c>
      <c r="J5" s="7">
        <v>-5000</v>
      </c>
      <c r="K5" s="7">
        <v>-5000</v>
      </c>
      <c r="L5" s="7">
        <v>-5000</v>
      </c>
      <c r="M5" s="7">
        <v>-5000</v>
      </c>
      <c r="N5" s="7">
        <v>-5000</v>
      </c>
      <c r="O5" s="7">
        <v>-5000</v>
      </c>
      <c r="P5" s="7">
        <v>-5000</v>
      </c>
      <c r="Q5" s="7">
        <v>-5000</v>
      </c>
      <c r="R5" s="7">
        <v>-5000</v>
      </c>
      <c r="S5" s="7">
        <v>-5000</v>
      </c>
      <c r="T5" s="7">
        <v>-5000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430418</v>
      </c>
      <c r="AR5" s="5"/>
    </row>
    <row r="6" spans="1:105" x14ac:dyDescent="0.25"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5"/>
    </row>
    <row r="7" spans="1:105" s="1" customFormat="1" x14ac:dyDescent="0.25">
      <c r="A7" s="1" t="s">
        <v>27</v>
      </c>
      <c r="B7" s="1" t="s">
        <v>4</v>
      </c>
    </row>
    <row r="8" spans="1:105" s="8" customFormat="1" x14ac:dyDescent="0.25">
      <c r="A8" s="8" t="s">
        <v>3</v>
      </c>
      <c r="C8" s="8">
        <v>0</v>
      </c>
      <c r="D8" s="8">
        <f>IFERROR(IF(C8+1&lt;=100,C8+1,""),"")</f>
        <v>1</v>
      </c>
      <c r="E8" s="8">
        <f t="shared" ref="E8:BP8" si="0">IFERROR(IF(D8+1&lt;=100,D8+1,""),"")</f>
        <v>2</v>
      </c>
      <c r="F8" s="8">
        <f t="shared" si="0"/>
        <v>3</v>
      </c>
      <c r="G8" s="8">
        <f t="shared" si="0"/>
        <v>4</v>
      </c>
      <c r="H8" s="8">
        <f t="shared" si="0"/>
        <v>5</v>
      </c>
      <c r="I8" s="8">
        <f t="shared" si="0"/>
        <v>6</v>
      </c>
      <c r="J8" s="8">
        <f t="shared" si="0"/>
        <v>7</v>
      </c>
      <c r="K8" s="8">
        <f t="shared" si="0"/>
        <v>8</v>
      </c>
      <c r="L8" s="8">
        <f t="shared" si="0"/>
        <v>9</v>
      </c>
      <c r="M8" s="8">
        <f t="shared" si="0"/>
        <v>10</v>
      </c>
      <c r="N8" s="8">
        <f t="shared" si="0"/>
        <v>11</v>
      </c>
      <c r="O8" s="8">
        <f t="shared" si="0"/>
        <v>12</v>
      </c>
      <c r="P8" s="8">
        <f t="shared" si="0"/>
        <v>13</v>
      </c>
      <c r="Q8" s="8">
        <f t="shared" si="0"/>
        <v>14</v>
      </c>
      <c r="R8" s="8">
        <f t="shared" si="0"/>
        <v>15</v>
      </c>
      <c r="S8" s="8">
        <f t="shared" si="0"/>
        <v>16</v>
      </c>
      <c r="T8" s="8">
        <f t="shared" si="0"/>
        <v>17</v>
      </c>
      <c r="U8" s="8">
        <f t="shared" si="0"/>
        <v>18</v>
      </c>
      <c r="V8" s="8">
        <f t="shared" si="0"/>
        <v>19</v>
      </c>
      <c r="W8" s="8">
        <f t="shared" si="0"/>
        <v>20</v>
      </c>
      <c r="X8" s="8">
        <f t="shared" si="0"/>
        <v>21</v>
      </c>
      <c r="Y8" s="8">
        <f t="shared" si="0"/>
        <v>22</v>
      </c>
      <c r="Z8" s="8">
        <f t="shared" si="0"/>
        <v>23</v>
      </c>
      <c r="AA8" s="8">
        <f t="shared" si="0"/>
        <v>24</v>
      </c>
      <c r="AB8" s="8">
        <f t="shared" si="0"/>
        <v>25</v>
      </c>
      <c r="AC8" s="8">
        <f t="shared" si="0"/>
        <v>26</v>
      </c>
      <c r="AD8" s="8">
        <f t="shared" si="0"/>
        <v>27</v>
      </c>
      <c r="AE8" s="8">
        <f t="shared" si="0"/>
        <v>28</v>
      </c>
      <c r="AF8" s="8">
        <f t="shared" si="0"/>
        <v>29</v>
      </c>
      <c r="AG8" s="8">
        <f t="shared" si="0"/>
        <v>30</v>
      </c>
      <c r="AH8" s="8">
        <f t="shared" si="0"/>
        <v>31</v>
      </c>
      <c r="AI8" s="8">
        <f t="shared" si="0"/>
        <v>32</v>
      </c>
      <c r="AJ8" s="8">
        <f t="shared" si="0"/>
        <v>33</v>
      </c>
      <c r="AK8" s="8">
        <f t="shared" si="0"/>
        <v>34</v>
      </c>
      <c r="AL8" s="8">
        <f t="shared" si="0"/>
        <v>35</v>
      </c>
      <c r="AM8" s="8">
        <f t="shared" si="0"/>
        <v>36</v>
      </c>
      <c r="AN8" s="8">
        <f t="shared" si="0"/>
        <v>37</v>
      </c>
      <c r="AO8" s="8">
        <f t="shared" si="0"/>
        <v>38</v>
      </c>
      <c r="AP8" s="8">
        <f t="shared" si="0"/>
        <v>39</v>
      </c>
      <c r="AQ8" s="8">
        <f t="shared" si="0"/>
        <v>40</v>
      </c>
      <c r="AR8" s="8">
        <f t="shared" si="0"/>
        <v>41</v>
      </c>
      <c r="AS8" s="8">
        <f t="shared" si="0"/>
        <v>42</v>
      </c>
      <c r="AT8" s="8">
        <f t="shared" si="0"/>
        <v>43</v>
      </c>
      <c r="AU8" s="8">
        <f t="shared" si="0"/>
        <v>44</v>
      </c>
      <c r="AV8" s="8">
        <f t="shared" si="0"/>
        <v>45</v>
      </c>
      <c r="AW8" s="8">
        <f t="shared" si="0"/>
        <v>46</v>
      </c>
      <c r="AX8" s="8">
        <f t="shared" si="0"/>
        <v>47</v>
      </c>
      <c r="AY8" s="8">
        <f t="shared" si="0"/>
        <v>48</v>
      </c>
      <c r="AZ8" s="8">
        <f t="shared" si="0"/>
        <v>49</v>
      </c>
      <c r="BA8" s="8">
        <f t="shared" si="0"/>
        <v>50</v>
      </c>
      <c r="BB8" s="8">
        <f t="shared" si="0"/>
        <v>51</v>
      </c>
      <c r="BC8" s="8">
        <f t="shared" si="0"/>
        <v>52</v>
      </c>
      <c r="BD8" s="8">
        <f t="shared" si="0"/>
        <v>53</v>
      </c>
      <c r="BE8" s="8">
        <f t="shared" si="0"/>
        <v>54</v>
      </c>
      <c r="BF8" s="8">
        <f t="shared" si="0"/>
        <v>55</v>
      </c>
      <c r="BG8" s="8">
        <f t="shared" si="0"/>
        <v>56</v>
      </c>
      <c r="BH8" s="8">
        <f t="shared" si="0"/>
        <v>57</v>
      </c>
      <c r="BI8" s="8">
        <f t="shared" si="0"/>
        <v>58</v>
      </c>
      <c r="BJ8" s="8">
        <f t="shared" si="0"/>
        <v>59</v>
      </c>
      <c r="BK8" s="8">
        <f t="shared" si="0"/>
        <v>60</v>
      </c>
      <c r="BL8" s="8">
        <f t="shared" si="0"/>
        <v>61</v>
      </c>
      <c r="BM8" s="8">
        <f t="shared" si="0"/>
        <v>62</v>
      </c>
      <c r="BN8" s="8">
        <f t="shared" si="0"/>
        <v>63</v>
      </c>
      <c r="BO8" s="8">
        <f t="shared" si="0"/>
        <v>64</v>
      </c>
      <c r="BP8" s="8">
        <f t="shared" si="0"/>
        <v>65</v>
      </c>
      <c r="BQ8" s="8">
        <f t="shared" ref="BQ8:CU8" si="1">IFERROR(IF(BP8+1&lt;=100,BP8+1,""),"")</f>
        <v>66</v>
      </c>
      <c r="BR8" s="8">
        <f t="shared" si="1"/>
        <v>67</v>
      </c>
      <c r="BS8" s="8">
        <f t="shared" si="1"/>
        <v>68</v>
      </c>
      <c r="BT8" s="8">
        <f t="shared" si="1"/>
        <v>69</v>
      </c>
      <c r="BU8" s="8">
        <f t="shared" si="1"/>
        <v>70</v>
      </c>
      <c r="BV8" s="8">
        <f t="shared" si="1"/>
        <v>71</v>
      </c>
      <c r="BW8" s="8">
        <f t="shared" si="1"/>
        <v>72</v>
      </c>
      <c r="BX8" s="8">
        <f t="shared" si="1"/>
        <v>73</v>
      </c>
      <c r="BY8" s="8">
        <f t="shared" si="1"/>
        <v>74</v>
      </c>
      <c r="BZ8" s="8">
        <f t="shared" si="1"/>
        <v>75</v>
      </c>
      <c r="CA8" s="8">
        <f t="shared" si="1"/>
        <v>76</v>
      </c>
      <c r="CB8" s="8">
        <f t="shared" si="1"/>
        <v>77</v>
      </c>
      <c r="CC8" s="8">
        <f t="shared" si="1"/>
        <v>78</v>
      </c>
      <c r="CD8" s="8">
        <f t="shared" si="1"/>
        <v>79</v>
      </c>
      <c r="CE8" s="8">
        <f t="shared" si="1"/>
        <v>80</v>
      </c>
      <c r="CF8" s="8">
        <f t="shared" si="1"/>
        <v>81</v>
      </c>
      <c r="CG8" s="8">
        <f t="shared" si="1"/>
        <v>82</v>
      </c>
      <c r="CH8" s="8">
        <f t="shared" si="1"/>
        <v>83</v>
      </c>
      <c r="CI8" s="8">
        <f t="shared" si="1"/>
        <v>84</v>
      </c>
      <c r="CJ8" s="8">
        <f t="shared" si="1"/>
        <v>85</v>
      </c>
      <c r="CK8" s="8">
        <f t="shared" si="1"/>
        <v>86</v>
      </c>
      <c r="CL8" s="8">
        <f t="shared" si="1"/>
        <v>87</v>
      </c>
      <c r="CM8" s="8">
        <f t="shared" si="1"/>
        <v>88</v>
      </c>
      <c r="CN8" s="8">
        <f t="shared" si="1"/>
        <v>89</v>
      </c>
      <c r="CO8" s="8">
        <f t="shared" si="1"/>
        <v>90</v>
      </c>
      <c r="CP8" s="8">
        <f t="shared" si="1"/>
        <v>91</v>
      </c>
      <c r="CQ8" s="8">
        <f t="shared" si="1"/>
        <v>92</v>
      </c>
      <c r="CR8" s="8">
        <f t="shared" si="1"/>
        <v>93</v>
      </c>
      <c r="CS8" s="8">
        <f t="shared" si="1"/>
        <v>94</v>
      </c>
      <c r="CT8" s="8">
        <f t="shared" si="1"/>
        <v>95</v>
      </c>
      <c r="CU8" s="8">
        <f t="shared" si="1"/>
        <v>96</v>
      </c>
    </row>
    <row r="9" spans="1:105" s="2" customFormat="1" x14ac:dyDescent="0.25">
      <c r="A9" s="2" t="s">
        <v>1</v>
      </c>
      <c r="C9" s="2">
        <v>0</v>
      </c>
      <c r="D9" s="2">
        <f>COUNT($D8:D8)</f>
        <v>1</v>
      </c>
      <c r="E9" s="2">
        <f>COUNT($D8:E8)</f>
        <v>2</v>
      </c>
      <c r="F9" s="2">
        <f>COUNT($D8:F8)</f>
        <v>3</v>
      </c>
      <c r="G9" s="2">
        <f>COUNT($D8:G8)</f>
        <v>4</v>
      </c>
      <c r="H9" s="2">
        <f>COUNT($D8:H8)</f>
        <v>5</v>
      </c>
      <c r="I9" s="2">
        <f>COUNT($D8:I8)</f>
        <v>6</v>
      </c>
      <c r="J9" s="2">
        <f>COUNT($D8:J8)</f>
        <v>7</v>
      </c>
      <c r="K9" s="2">
        <f>COUNT($D8:K8)</f>
        <v>8</v>
      </c>
      <c r="L9" s="2">
        <f>COUNT($D8:L8)</f>
        <v>9</v>
      </c>
      <c r="M9" s="2">
        <f>COUNT($D8:M8)</f>
        <v>10</v>
      </c>
      <c r="N9" s="2">
        <f>COUNT($D8:N8)</f>
        <v>11</v>
      </c>
      <c r="O9" s="2">
        <f>COUNT($D8:O8)</f>
        <v>12</v>
      </c>
      <c r="P9" s="2">
        <f>COUNT($D8:P8)</f>
        <v>13</v>
      </c>
      <c r="Q9" s="2">
        <f>COUNT($D8:Q8)</f>
        <v>14</v>
      </c>
      <c r="R9" s="2">
        <f>COUNT($D8:R8)</f>
        <v>15</v>
      </c>
      <c r="S9" s="2">
        <f>COUNT($D8:S8)</f>
        <v>16</v>
      </c>
      <c r="T9" s="2">
        <f>COUNT($D8:T8)</f>
        <v>17</v>
      </c>
      <c r="U9" s="2">
        <f>COUNT($D8:U8)</f>
        <v>18</v>
      </c>
      <c r="V9" s="2">
        <f>COUNT($D8:V8)</f>
        <v>19</v>
      </c>
      <c r="W9" s="35">
        <f>COUNT($D8:W8)</f>
        <v>20</v>
      </c>
      <c r="X9" s="2">
        <f>COUNT($D8:X8)</f>
        <v>21</v>
      </c>
      <c r="Y9" s="2">
        <f>COUNT($D8:Y8)</f>
        <v>22</v>
      </c>
      <c r="Z9" s="2">
        <f>COUNT($D8:Z8)</f>
        <v>23</v>
      </c>
      <c r="AA9" s="2">
        <f>COUNT($D8:AA8)</f>
        <v>24</v>
      </c>
      <c r="AB9" s="2">
        <f>COUNT($D8:AB8)</f>
        <v>25</v>
      </c>
      <c r="AC9" s="2">
        <f>COUNT($D8:AC8)</f>
        <v>26</v>
      </c>
      <c r="AD9" s="2">
        <f>COUNT($D8:AD8)</f>
        <v>27</v>
      </c>
      <c r="AE9" s="2">
        <f>COUNT($D8:AE8)</f>
        <v>28</v>
      </c>
      <c r="AF9" s="2">
        <f>COUNT($D8:AF8)</f>
        <v>29</v>
      </c>
      <c r="AG9" s="2">
        <f>COUNT($D8:AG8)</f>
        <v>30</v>
      </c>
      <c r="AH9" s="2">
        <f>COUNT($D8:AH8)</f>
        <v>31</v>
      </c>
      <c r="AI9" s="2">
        <f>COUNT($D8:AI8)</f>
        <v>32</v>
      </c>
      <c r="AJ9" s="2">
        <f>COUNT($D8:AJ8)</f>
        <v>33</v>
      </c>
      <c r="AK9" s="2">
        <f>COUNT($D8:AK8)</f>
        <v>34</v>
      </c>
      <c r="AL9" s="2">
        <f>COUNT($D8:AL8)</f>
        <v>35</v>
      </c>
      <c r="AM9" s="2">
        <f>COUNT($D8:AM8)</f>
        <v>36</v>
      </c>
      <c r="AN9" s="2">
        <f>COUNT($D8:AN8)</f>
        <v>37</v>
      </c>
      <c r="AO9" s="2">
        <f>COUNT($D8:AO8)</f>
        <v>38</v>
      </c>
      <c r="AP9" s="2">
        <f>COUNT($D8:AP8)</f>
        <v>39</v>
      </c>
      <c r="AQ9" s="2">
        <f>COUNT($D8:AQ8)</f>
        <v>40</v>
      </c>
      <c r="AR9" s="2">
        <f>COUNT($D8:AR8)</f>
        <v>41</v>
      </c>
      <c r="AS9" s="2">
        <f>COUNT($D8:AS8)</f>
        <v>42</v>
      </c>
      <c r="AT9" s="2">
        <f>COUNT($D8:AT8)</f>
        <v>43</v>
      </c>
      <c r="AU9" s="2">
        <f>COUNT($D8:AU8)</f>
        <v>44</v>
      </c>
      <c r="AV9" s="2">
        <f>COUNT($D8:AV8)</f>
        <v>45</v>
      </c>
      <c r="AW9" s="2">
        <f>COUNT($D8:AW8)</f>
        <v>46</v>
      </c>
      <c r="AX9" s="2">
        <f>COUNT($D8:AX8)</f>
        <v>47</v>
      </c>
      <c r="AY9" s="2">
        <f>COUNT($D8:AY8)</f>
        <v>48</v>
      </c>
      <c r="AZ9" s="2">
        <f>COUNT($D8:AZ8)</f>
        <v>49</v>
      </c>
      <c r="BA9" s="2">
        <f>COUNT($D8:BA8)</f>
        <v>50</v>
      </c>
      <c r="BB9" s="2">
        <f>COUNT($D8:BB8)</f>
        <v>51</v>
      </c>
      <c r="BC9" s="2">
        <f>COUNT($D8:BC8)</f>
        <v>52</v>
      </c>
      <c r="BD9" s="2">
        <f>COUNT($D8:BD8)</f>
        <v>53</v>
      </c>
      <c r="BE9" s="2">
        <f>COUNT($D8:BE8)</f>
        <v>54</v>
      </c>
      <c r="BF9" s="2">
        <f>COUNT($D8:BF8)</f>
        <v>55</v>
      </c>
      <c r="BG9" s="2">
        <f>COUNT($D8:BG8)</f>
        <v>56</v>
      </c>
      <c r="BH9" s="2">
        <f>COUNT($D8:BH8)</f>
        <v>57</v>
      </c>
      <c r="BI9" s="2">
        <f>COUNT($D8:BI8)</f>
        <v>58</v>
      </c>
      <c r="BJ9" s="2">
        <f>COUNT($D8:BJ8)</f>
        <v>59</v>
      </c>
      <c r="BK9" s="2">
        <f>COUNT($D8:BK8)</f>
        <v>60</v>
      </c>
      <c r="BL9" s="2">
        <f>COUNT($D8:BL8)</f>
        <v>61</v>
      </c>
      <c r="BM9" s="2">
        <f>COUNT($D8:BM8)</f>
        <v>62</v>
      </c>
      <c r="BN9" s="2">
        <f>COUNT($D8:BN8)</f>
        <v>63</v>
      </c>
      <c r="BO9" s="2">
        <f>COUNT($D8:BO8)</f>
        <v>64</v>
      </c>
      <c r="BP9" s="2">
        <f>COUNT($D8:BP8)</f>
        <v>65</v>
      </c>
      <c r="BQ9" s="2">
        <f>COUNT($D8:BQ8)</f>
        <v>66</v>
      </c>
      <c r="BR9" s="2">
        <f>COUNT($D8:BR8)</f>
        <v>67</v>
      </c>
      <c r="BS9" s="2">
        <f>COUNT($D8:BS8)</f>
        <v>68</v>
      </c>
      <c r="BT9" s="2">
        <f>COUNT($D8:BT8)</f>
        <v>69</v>
      </c>
      <c r="BU9" s="2">
        <f>COUNT($D8:BU8)</f>
        <v>70</v>
      </c>
      <c r="BV9" s="2">
        <f>COUNT($D8:BV8)</f>
        <v>71</v>
      </c>
      <c r="BW9" s="2">
        <f>COUNT($D8:BW8)</f>
        <v>72</v>
      </c>
      <c r="BX9" s="2">
        <f>COUNT($D8:BX8)</f>
        <v>73</v>
      </c>
      <c r="BY9" s="2">
        <f>COUNT($D8:BY8)</f>
        <v>74</v>
      </c>
      <c r="BZ9" s="2">
        <f>COUNT($D8:BZ8)</f>
        <v>75</v>
      </c>
      <c r="CA9" s="2">
        <f>COUNT($D8:CA8)</f>
        <v>76</v>
      </c>
      <c r="CB9" s="2">
        <f>COUNT($D8:CB8)</f>
        <v>77</v>
      </c>
      <c r="CC9" s="2">
        <f>COUNT($D8:CC8)</f>
        <v>78</v>
      </c>
      <c r="CD9" s="2">
        <f>COUNT($D8:CD8)</f>
        <v>79</v>
      </c>
      <c r="CE9" s="2">
        <f>COUNT($D8:CE8)</f>
        <v>80</v>
      </c>
      <c r="CF9" s="2">
        <f>COUNT($D8:CF8)</f>
        <v>81</v>
      </c>
      <c r="CG9" s="2">
        <f>COUNT($D8:CG8)</f>
        <v>82</v>
      </c>
      <c r="CH9" s="2">
        <f>COUNT($D8:CH8)</f>
        <v>83</v>
      </c>
      <c r="CI9" s="2">
        <f>COUNT($D8:CI8)</f>
        <v>84</v>
      </c>
      <c r="CJ9" s="2">
        <f>COUNT($D8:CJ8)</f>
        <v>85</v>
      </c>
      <c r="CK9" s="2">
        <f>COUNT($D8:CK8)</f>
        <v>86</v>
      </c>
      <c r="CL9" s="2">
        <f>COUNT($D8:CL8)</f>
        <v>87</v>
      </c>
      <c r="CM9" s="2">
        <f>COUNT($D8:CM8)</f>
        <v>88</v>
      </c>
      <c r="CN9" s="2">
        <f>COUNT($D8:CN8)</f>
        <v>89</v>
      </c>
      <c r="CO9" s="2">
        <f>COUNT($D8:CO8)</f>
        <v>90</v>
      </c>
      <c r="CP9" s="2">
        <f>COUNT($D8:CP8)</f>
        <v>91</v>
      </c>
      <c r="CQ9" s="2">
        <f>COUNT($D8:CQ8)</f>
        <v>92</v>
      </c>
      <c r="CR9" s="2">
        <f>COUNT($D8:CR8)</f>
        <v>93</v>
      </c>
    </row>
    <row r="10" spans="1:105" x14ac:dyDescent="0.25">
      <c r="B10" s="5">
        <f>IRR(C10:CR10)</f>
        <v>5.6887456138652981E-2</v>
      </c>
      <c r="C10" s="6">
        <v>-100000</v>
      </c>
      <c r="D10" s="6">
        <v>-100000</v>
      </c>
      <c r="E10" s="6">
        <v>-100000</v>
      </c>
      <c r="F10" s="6">
        <v>-100000</v>
      </c>
      <c r="G10" s="6">
        <v>-100000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33">
        <v>1357738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/>
      <c r="CT10" s="6"/>
      <c r="CU10" s="7"/>
      <c r="CV10" s="6"/>
      <c r="CW10" s="7"/>
      <c r="CX10" s="6"/>
      <c r="CY10" s="6"/>
      <c r="CZ10" s="7"/>
      <c r="DA10" s="6"/>
    </row>
    <row r="11" spans="1:105" x14ac:dyDescent="0.25">
      <c r="B11" s="5"/>
      <c r="C11" s="6"/>
      <c r="D11" s="6"/>
      <c r="E11" s="6"/>
      <c r="F11" s="6"/>
      <c r="G11" s="9">
        <f>SUM(C10:G10)</f>
        <v>-500000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W11" s="33">
        <f>W10*6.8</f>
        <v>9232618.4000000004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</row>
    <row r="12" spans="1:105" x14ac:dyDescent="0.25">
      <c r="B12" s="5"/>
    </row>
    <row r="13" spans="1:105" s="1" customFormat="1" x14ac:dyDescent="0.25">
      <c r="A13" s="1" t="s">
        <v>27</v>
      </c>
      <c r="B13" s="1" t="s">
        <v>5</v>
      </c>
    </row>
    <row r="14" spans="1:105" s="8" customFormat="1" x14ac:dyDescent="0.25">
      <c r="A14" s="8" t="s">
        <v>3</v>
      </c>
      <c r="C14" s="8">
        <v>0</v>
      </c>
      <c r="D14" s="8">
        <f>IFERROR(IF(C14+1&lt;=100,C14+1,""),"")</f>
        <v>1</v>
      </c>
      <c r="E14" s="8">
        <f t="shared" ref="E14" si="2">IFERROR(IF(D14+1&lt;=100,D14+1,""),"")</f>
        <v>2</v>
      </c>
      <c r="F14" s="8">
        <f t="shared" ref="F14" si="3">IFERROR(IF(E14+1&lt;=100,E14+1,""),"")</f>
        <v>3</v>
      </c>
      <c r="G14" s="8">
        <f t="shared" ref="G14" si="4">IFERROR(IF(F14+1&lt;=100,F14+1,""),"")</f>
        <v>4</v>
      </c>
      <c r="H14" s="8">
        <f t="shared" ref="H14" si="5">IFERROR(IF(G14+1&lt;=100,G14+1,""),"")</f>
        <v>5</v>
      </c>
      <c r="I14" s="8">
        <f t="shared" ref="I14" si="6">IFERROR(IF(H14+1&lt;=100,H14+1,""),"")</f>
        <v>6</v>
      </c>
      <c r="J14" s="8">
        <f t="shared" ref="J14" si="7">IFERROR(IF(I14+1&lt;=100,I14+1,""),"")</f>
        <v>7</v>
      </c>
      <c r="K14" s="8">
        <f t="shared" ref="K14" si="8">IFERROR(IF(J14+1&lt;=100,J14+1,""),"")</f>
        <v>8</v>
      </c>
      <c r="L14" s="8">
        <f t="shared" ref="L14" si="9">IFERROR(IF(K14+1&lt;=100,K14+1,""),"")</f>
        <v>9</v>
      </c>
      <c r="M14" s="8">
        <f t="shared" ref="M14" si="10">IFERROR(IF(L14+1&lt;=100,L14+1,""),"")</f>
        <v>10</v>
      </c>
      <c r="N14" s="8">
        <f t="shared" ref="N14" si="11">IFERROR(IF(M14+1&lt;=100,M14+1,""),"")</f>
        <v>11</v>
      </c>
      <c r="O14" s="8">
        <f t="shared" ref="O14" si="12">IFERROR(IF(N14+1&lt;=100,N14+1,""),"")</f>
        <v>12</v>
      </c>
      <c r="P14" s="8">
        <f t="shared" ref="P14" si="13">IFERROR(IF(O14+1&lt;=100,O14+1,""),"")</f>
        <v>13</v>
      </c>
      <c r="Q14" s="8">
        <f t="shared" ref="Q14" si="14">IFERROR(IF(P14+1&lt;=100,P14+1,""),"")</f>
        <v>14</v>
      </c>
      <c r="R14" s="8">
        <f t="shared" ref="R14" si="15">IFERROR(IF(Q14+1&lt;=100,Q14+1,""),"")</f>
        <v>15</v>
      </c>
      <c r="S14" s="8">
        <f t="shared" ref="S14" si="16">IFERROR(IF(R14+1&lt;=100,R14+1,""),"")</f>
        <v>16</v>
      </c>
      <c r="T14" s="8">
        <f t="shared" ref="T14" si="17">IFERROR(IF(S14+1&lt;=100,S14+1,""),"")</f>
        <v>17</v>
      </c>
      <c r="U14" s="8">
        <f t="shared" ref="U14" si="18">IFERROR(IF(T14+1&lt;=100,T14+1,""),"")</f>
        <v>18</v>
      </c>
      <c r="V14" s="8">
        <f t="shared" ref="V14" si="19">IFERROR(IF(U14+1&lt;=100,U14+1,""),"")</f>
        <v>19</v>
      </c>
      <c r="W14" s="8">
        <f t="shared" ref="W14" si="20">IFERROR(IF(V14+1&lt;=100,V14+1,""),"")</f>
        <v>20</v>
      </c>
      <c r="X14" s="8">
        <f t="shared" ref="X14" si="21">IFERROR(IF(W14+1&lt;=100,W14+1,""),"")</f>
        <v>21</v>
      </c>
      <c r="Y14" s="8">
        <f t="shared" ref="Y14" si="22">IFERROR(IF(X14+1&lt;=100,X14+1,""),"")</f>
        <v>22</v>
      </c>
      <c r="Z14" s="8">
        <f t="shared" ref="Z14" si="23">IFERROR(IF(Y14+1&lt;=100,Y14+1,""),"")</f>
        <v>23</v>
      </c>
      <c r="AA14" s="8">
        <f t="shared" ref="AA14" si="24">IFERROR(IF(Z14+1&lt;=100,Z14+1,""),"")</f>
        <v>24</v>
      </c>
      <c r="AB14" s="8">
        <f t="shared" ref="AB14" si="25">IFERROR(IF(AA14+1&lt;=100,AA14+1,""),"")</f>
        <v>25</v>
      </c>
      <c r="AC14" s="8">
        <f t="shared" ref="AC14" si="26">IFERROR(IF(AB14+1&lt;=100,AB14+1,""),"")</f>
        <v>26</v>
      </c>
      <c r="AD14" s="8">
        <f t="shared" ref="AD14" si="27">IFERROR(IF(AC14+1&lt;=100,AC14+1,""),"")</f>
        <v>27</v>
      </c>
      <c r="AE14" s="8">
        <f t="shared" ref="AE14" si="28">IFERROR(IF(AD14+1&lt;=100,AD14+1,""),"")</f>
        <v>28</v>
      </c>
      <c r="AF14" s="8">
        <f t="shared" ref="AF14" si="29">IFERROR(IF(AE14+1&lt;=100,AE14+1,""),"")</f>
        <v>29</v>
      </c>
      <c r="AG14" s="8">
        <f t="shared" ref="AG14" si="30">IFERROR(IF(AF14+1&lt;=100,AF14+1,""),"")</f>
        <v>30</v>
      </c>
      <c r="AH14" s="8">
        <f t="shared" ref="AH14" si="31">IFERROR(IF(AG14+1&lt;=100,AG14+1,""),"")</f>
        <v>31</v>
      </c>
      <c r="AI14" s="8">
        <f t="shared" ref="AI14" si="32">IFERROR(IF(AH14+1&lt;=100,AH14+1,""),"")</f>
        <v>32</v>
      </c>
      <c r="AJ14" s="8">
        <f t="shared" ref="AJ14" si="33">IFERROR(IF(AI14+1&lt;=100,AI14+1,""),"")</f>
        <v>33</v>
      </c>
      <c r="AK14" s="8">
        <f t="shared" ref="AK14" si="34">IFERROR(IF(AJ14+1&lt;=100,AJ14+1,""),"")</f>
        <v>34</v>
      </c>
      <c r="AL14" s="8">
        <f t="shared" ref="AL14" si="35">IFERROR(IF(AK14+1&lt;=100,AK14+1,""),"")</f>
        <v>35</v>
      </c>
      <c r="AM14" s="8">
        <f t="shared" ref="AM14" si="36">IFERROR(IF(AL14+1&lt;=100,AL14+1,""),"")</f>
        <v>36</v>
      </c>
      <c r="AN14" s="8">
        <f t="shared" ref="AN14" si="37">IFERROR(IF(AM14+1&lt;=100,AM14+1,""),"")</f>
        <v>37</v>
      </c>
      <c r="AO14" s="8">
        <f t="shared" ref="AO14" si="38">IFERROR(IF(AN14+1&lt;=100,AN14+1,""),"")</f>
        <v>38</v>
      </c>
      <c r="AP14" s="8">
        <f t="shared" ref="AP14" si="39">IFERROR(IF(AO14+1&lt;=100,AO14+1,""),"")</f>
        <v>39</v>
      </c>
      <c r="AQ14" s="8">
        <f t="shared" ref="AQ14" si="40">IFERROR(IF(AP14+1&lt;=100,AP14+1,""),"")</f>
        <v>40</v>
      </c>
      <c r="AR14" s="8">
        <f t="shared" ref="AR14" si="41">IFERROR(IF(AQ14+1&lt;=100,AQ14+1,""),"")</f>
        <v>41</v>
      </c>
      <c r="AS14" s="8">
        <f t="shared" ref="AS14" si="42">IFERROR(IF(AR14+1&lt;=100,AR14+1,""),"")</f>
        <v>42</v>
      </c>
      <c r="AT14" s="8">
        <f t="shared" ref="AT14" si="43">IFERROR(IF(AS14+1&lt;=100,AS14+1,""),"")</f>
        <v>43</v>
      </c>
      <c r="AU14" s="8">
        <f t="shared" ref="AU14" si="44">IFERROR(IF(AT14+1&lt;=100,AT14+1,""),"")</f>
        <v>44</v>
      </c>
      <c r="AV14" s="8">
        <f t="shared" ref="AV14" si="45">IFERROR(IF(AU14+1&lt;=100,AU14+1,""),"")</f>
        <v>45</v>
      </c>
      <c r="AW14" s="8">
        <f t="shared" ref="AW14" si="46">IFERROR(IF(AV14+1&lt;=100,AV14+1,""),"")</f>
        <v>46</v>
      </c>
      <c r="AX14" s="8">
        <f t="shared" ref="AX14" si="47">IFERROR(IF(AW14+1&lt;=100,AW14+1,""),"")</f>
        <v>47</v>
      </c>
      <c r="AY14" s="8">
        <f t="shared" ref="AY14" si="48">IFERROR(IF(AX14+1&lt;=100,AX14+1,""),"")</f>
        <v>48</v>
      </c>
      <c r="AZ14" s="8">
        <f t="shared" ref="AZ14" si="49">IFERROR(IF(AY14+1&lt;=100,AY14+1,""),"")</f>
        <v>49</v>
      </c>
      <c r="BA14" s="8">
        <f t="shared" ref="BA14" si="50">IFERROR(IF(AZ14+1&lt;=100,AZ14+1,""),"")</f>
        <v>50</v>
      </c>
      <c r="BB14" s="8">
        <f t="shared" ref="BB14" si="51">IFERROR(IF(BA14+1&lt;=100,BA14+1,""),"")</f>
        <v>51</v>
      </c>
      <c r="BC14" s="8">
        <f t="shared" ref="BC14" si="52">IFERROR(IF(BB14+1&lt;=100,BB14+1,""),"")</f>
        <v>52</v>
      </c>
      <c r="BD14" s="8">
        <f t="shared" ref="BD14" si="53">IFERROR(IF(BC14+1&lt;=100,BC14+1,""),"")</f>
        <v>53</v>
      </c>
      <c r="BE14" s="8">
        <f t="shared" ref="BE14" si="54">IFERROR(IF(BD14+1&lt;=100,BD14+1,""),"")</f>
        <v>54</v>
      </c>
      <c r="BF14" s="8">
        <f t="shared" ref="BF14" si="55">IFERROR(IF(BE14+1&lt;=100,BE14+1,""),"")</f>
        <v>55</v>
      </c>
      <c r="BG14" s="8">
        <f t="shared" ref="BG14" si="56">IFERROR(IF(BF14+1&lt;=100,BF14+1,""),"")</f>
        <v>56</v>
      </c>
      <c r="BH14" s="8">
        <f t="shared" ref="BH14" si="57">IFERROR(IF(BG14+1&lt;=100,BG14+1,""),"")</f>
        <v>57</v>
      </c>
      <c r="BI14" s="8">
        <f t="shared" ref="BI14" si="58">IFERROR(IF(BH14+1&lt;=100,BH14+1,""),"")</f>
        <v>58</v>
      </c>
      <c r="BJ14" s="8">
        <f t="shared" ref="BJ14" si="59">IFERROR(IF(BI14+1&lt;=100,BI14+1,""),"")</f>
        <v>59</v>
      </c>
      <c r="BK14" s="8">
        <f t="shared" ref="BK14" si="60">IFERROR(IF(BJ14+1&lt;=100,BJ14+1,""),"")</f>
        <v>60</v>
      </c>
      <c r="BL14" s="8">
        <f t="shared" ref="BL14" si="61">IFERROR(IF(BK14+1&lt;=100,BK14+1,""),"")</f>
        <v>61</v>
      </c>
      <c r="BM14" s="8">
        <f t="shared" ref="BM14" si="62">IFERROR(IF(BL14+1&lt;=100,BL14+1,""),"")</f>
        <v>62</v>
      </c>
      <c r="BN14" s="8">
        <f t="shared" ref="BN14" si="63">IFERROR(IF(BM14+1&lt;=100,BM14+1,""),"")</f>
        <v>63</v>
      </c>
      <c r="BO14" s="8">
        <f t="shared" ref="BO14" si="64">IFERROR(IF(BN14+1&lt;=100,BN14+1,""),"")</f>
        <v>64</v>
      </c>
      <c r="BP14" s="8">
        <f t="shared" ref="BP14" si="65">IFERROR(IF(BO14+1&lt;=100,BO14+1,""),"")</f>
        <v>65</v>
      </c>
      <c r="BQ14" s="8">
        <f t="shared" ref="BQ14" si="66">IFERROR(IF(BP14+1&lt;=100,BP14+1,""),"")</f>
        <v>66</v>
      </c>
      <c r="BR14" s="8">
        <f t="shared" ref="BR14" si="67">IFERROR(IF(BQ14+1&lt;=100,BQ14+1,""),"")</f>
        <v>67</v>
      </c>
      <c r="BS14" s="8">
        <f t="shared" ref="BS14" si="68">IFERROR(IF(BR14+1&lt;=100,BR14+1,""),"")</f>
        <v>68</v>
      </c>
      <c r="BT14" s="8">
        <f t="shared" ref="BT14" si="69">IFERROR(IF(BS14+1&lt;=100,BS14+1,""),"")</f>
        <v>69</v>
      </c>
      <c r="BU14" s="8">
        <f t="shared" ref="BU14" si="70">IFERROR(IF(BT14+1&lt;=100,BT14+1,""),"")</f>
        <v>70</v>
      </c>
      <c r="BV14" s="8">
        <f t="shared" ref="BV14" si="71">IFERROR(IF(BU14+1&lt;=100,BU14+1,""),"")</f>
        <v>71</v>
      </c>
      <c r="BW14" s="8">
        <f t="shared" ref="BW14" si="72">IFERROR(IF(BV14+1&lt;=100,BV14+1,""),"")</f>
        <v>72</v>
      </c>
      <c r="BX14" s="8">
        <f t="shared" ref="BX14" si="73">IFERROR(IF(BW14+1&lt;=100,BW14+1,""),"")</f>
        <v>73</v>
      </c>
      <c r="BY14" s="8">
        <f t="shared" ref="BY14" si="74">IFERROR(IF(BX14+1&lt;=100,BX14+1,""),"")</f>
        <v>74</v>
      </c>
      <c r="BZ14" s="8">
        <f t="shared" ref="BZ14" si="75">IFERROR(IF(BY14+1&lt;=100,BY14+1,""),"")</f>
        <v>75</v>
      </c>
      <c r="CA14" s="8">
        <f t="shared" ref="CA14" si="76">IFERROR(IF(BZ14+1&lt;=100,BZ14+1,""),"")</f>
        <v>76</v>
      </c>
      <c r="CB14" s="8">
        <f t="shared" ref="CB14" si="77">IFERROR(IF(CA14+1&lt;=100,CA14+1,""),"")</f>
        <v>77</v>
      </c>
      <c r="CC14" s="8">
        <f t="shared" ref="CC14" si="78">IFERROR(IF(CB14+1&lt;=100,CB14+1,""),"")</f>
        <v>78</v>
      </c>
      <c r="CD14" s="8">
        <f t="shared" ref="CD14" si="79">IFERROR(IF(CC14+1&lt;=100,CC14+1,""),"")</f>
        <v>79</v>
      </c>
      <c r="CE14" s="8">
        <f t="shared" ref="CE14" si="80">IFERROR(IF(CD14+1&lt;=100,CD14+1,""),"")</f>
        <v>80</v>
      </c>
      <c r="CF14" s="8">
        <f t="shared" ref="CF14" si="81">IFERROR(IF(CE14+1&lt;=100,CE14+1,""),"")</f>
        <v>81</v>
      </c>
      <c r="CG14" s="8">
        <f t="shared" ref="CG14" si="82">IFERROR(IF(CF14+1&lt;=100,CF14+1,""),"")</f>
        <v>82</v>
      </c>
      <c r="CH14" s="8">
        <f t="shared" ref="CH14" si="83">IFERROR(IF(CG14+1&lt;=100,CG14+1,""),"")</f>
        <v>83</v>
      </c>
      <c r="CI14" s="8">
        <f t="shared" ref="CI14" si="84">IFERROR(IF(CH14+1&lt;=100,CH14+1,""),"")</f>
        <v>84</v>
      </c>
      <c r="CJ14" s="8">
        <f t="shared" ref="CJ14" si="85">IFERROR(IF(CI14+1&lt;=100,CI14+1,""),"")</f>
        <v>85</v>
      </c>
      <c r="CK14" s="8">
        <f t="shared" ref="CK14" si="86">IFERROR(IF(CJ14+1&lt;=100,CJ14+1,""),"")</f>
        <v>86</v>
      </c>
      <c r="CL14" s="8">
        <f t="shared" ref="CL14" si="87">IFERROR(IF(CK14+1&lt;=100,CK14+1,""),"")</f>
        <v>87</v>
      </c>
      <c r="CM14" s="8">
        <f t="shared" ref="CM14" si="88">IFERROR(IF(CL14+1&lt;=100,CL14+1,""),"")</f>
        <v>88</v>
      </c>
      <c r="CN14" s="8">
        <f t="shared" ref="CN14" si="89">IFERROR(IF(CM14+1&lt;=100,CM14+1,""),"")</f>
        <v>89</v>
      </c>
      <c r="CO14" s="8">
        <f t="shared" ref="CO14" si="90">IFERROR(IF(CN14+1&lt;=100,CN14+1,""),"")</f>
        <v>90</v>
      </c>
      <c r="CP14" s="8">
        <f t="shared" ref="CP14" si="91">IFERROR(IF(CO14+1&lt;=100,CO14+1,""),"")</f>
        <v>91</v>
      </c>
      <c r="CQ14" s="8">
        <f t="shared" ref="CQ14" si="92">IFERROR(IF(CP14+1&lt;=100,CP14+1,""),"")</f>
        <v>92</v>
      </c>
      <c r="CR14" s="8">
        <f t="shared" ref="CR14" si="93">IFERROR(IF(CQ14+1&lt;=100,CQ14+1,""),"")</f>
        <v>93</v>
      </c>
      <c r="CS14" s="8">
        <f t="shared" ref="CS14" si="94">IFERROR(IF(CR14+1&lt;=100,CR14+1,""),"")</f>
        <v>94</v>
      </c>
      <c r="CT14" s="8">
        <f t="shared" ref="CT14" si="95">IFERROR(IF(CS14+1&lt;=100,CS14+1,""),"")</f>
        <v>95</v>
      </c>
      <c r="CU14" s="8">
        <f t="shared" ref="CU14" si="96">IFERROR(IF(CT14+1&lt;=100,CT14+1,""),"")</f>
        <v>96</v>
      </c>
    </row>
    <row r="15" spans="1:105" s="2" customFormat="1" x14ac:dyDescent="0.25">
      <c r="A15" s="2" t="s">
        <v>1</v>
      </c>
      <c r="C15" s="2">
        <v>0</v>
      </c>
      <c r="D15" s="2">
        <f>COUNT($D14:D14)</f>
        <v>1</v>
      </c>
      <c r="E15" s="2">
        <f>COUNT($D14:E14)</f>
        <v>2</v>
      </c>
      <c r="F15" s="2">
        <f>COUNT($D14:F14)</f>
        <v>3</v>
      </c>
      <c r="G15" s="2">
        <f>COUNT($D14:G14)</f>
        <v>4</v>
      </c>
      <c r="H15" s="2">
        <f>COUNT($D14:H14)</f>
        <v>5</v>
      </c>
      <c r="I15" s="2">
        <f>COUNT($D14:I14)</f>
        <v>6</v>
      </c>
      <c r="J15" s="2">
        <f>COUNT($D14:J14)</f>
        <v>7</v>
      </c>
      <c r="K15" s="2">
        <f>COUNT($D14:K14)</f>
        <v>8</v>
      </c>
      <c r="L15" s="2">
        <f>COUNT($D14:L14)</f>
        <v>9</v>
      </c>
      <c r="M15" s="2">
        <f>COUNT($D14:M14)</f>
        <v>10</v>
      </c>
      <c r="N15" s="2">
        <f>COUNT($D14:N14)</f>
        <v>11</v>
      </c>
      <c r="O15" s="2">
        <f>COUNT($D14:O14)</f>
        <v>12</v>
      </c>
      <c r="P15" s="2">
        <f>COUNT($D14:P14)</f>
        <v>13</v>
      </c>
      <c r="Q15" s="2">
        <f>COUNT($D14:Q14)</f>
        <v>14</v>
      </c>
      <c r="R15" s="2">
        <f>COUNT($D14:R14)</f>
        <v>15</v>
      </c>
      <c r="S15" s="2">
        <f>COUNT($D14:S14)</f>
        <v>16</v>
      </c>
      <c r="T15" s="2">
        <f>COUNT($D14:T14)</f>
        <v>17</v>
      </c>
      <c r="U15" s="2">
        <f>COUNT($D14:U14)</f>
        <v>18</v>
      </c>
      <c r="V15" s="2">
        <f>COUNT($D14:V14)</f>
        <v>19</v>
      </c>
      <c r="W15" s="2">
        <f>COUNT($D14:W14)</f>
        <v>20</v>
      </c>
      <c r="X15" s="2">
        <f>COUNT($D14:X14)</f>
        <v>21</v>
      </c>
      <c r="Y15" s="2">
        <f>COUNT($D14:Y14)</f>
        <v>22</v>
      </c>
      <c r="Z15" s="2">
        <f>COUNT($D14:Z14)</f>
        <v>23</v>
      </c>
      <c r="AA15" s="2">
        <f>COUNT($D14:AA14)</f>
        <v>24</v>
      </c>
      <c r="AB15" s="2">
        <f>COUNT($D14:AB14)</f>
        <v>25</v>
      </c>
      <c r="AC15" s="2">
        <f>COUNT($D14:AC14)</f>
        <v>26</v>
      </c>
      <c r="AD15" s="2">
        <f>COUNT($D14:AD14)</f>
        <v>27</v>
      </c>
      <c r="AE15" s="2">
        <f>COUNT($D14:AE14)</f>
        <v>28</v>
      </c>
      <c r="AF15" s="2">
        <f>COUNT($D14:AF14)</f>
        <v>29</v>
      </c>
      <c r="AG15" s="35">
        <f>COUNT($D14:AG14)</f>
        <v>30</v>
      </c>
      <c r="AH15" s="2">
        <f>COUNT($D14:AH14)</f>
        <v>31</v>
      </c>
      <c r="AI15" s="2">
        <f>COUNT($D14:AI14)</f>
        <v>32</v>
      </c>
      <c r="AJ15" s="2">
        <f>COUNT($D14:AJ14)</f>
        <v>33</v>
      </c>
      <c r="AK15" s="2">
        <f>COUNT($D14:AK14)</f>
        <v>34</v>
      </c>
      <c r="AL15" s="2">
        <f>COUNT($D14:AL14)</f>
        <v>35</v>
      </c>
      <c r="AM15" s="2">
        <f>COUNT($D14:AM14)</f>
        <v>36</v>
      </c>
      <c r="AN15" s="2">
        <f>COUNT($D14:AN14)</f>
        <v>37</v>
      </c>
      <c r="AO15" s="2">
        <f>COUNT($D14:AO14)</f>
        <v>38</v>
      </c>
      <c r="AP15" s="2">
        <f>COUNT($D14:AP14)</f>
        <v>39</v>
      </c>
      <c r="AQ15" s="2">
        <f>COUNT($D14:AQ14)</f>
        <v>40</v>
      </c>
      <c r="AR15" s="2">
        <f>COUNT($D14:AR14)</f>
        <v>41</v>
      </c>
      <c r="AS15" s="2">
        <f>COUNT($D14:AS14)</f>
        <v>42</v>
      </c>
      <c r="AT15" s="2">
        <f>COUNT($D14:AT14)</f>
        <v>43</v>
      </c>
      <c r="AU15" s="2">
        <f>COUNT($D14:AU14)</f>
        <v>44</v>
      </c>
      <c r="AV15" s="2">
        <f>COUNT($D14:AV14)</f>
        <v>45</v>
      </c>
      <c r="AW15" s="2">
        <f>COUNT($D14:AW14)</f>
        <v>46</v>
      </c>
      <c r="AX15" s="2">
        <f>COUNT($D14:AX14)</f>
        <v>47</v>
      </c>
      <c r="AY15" s="2">
        <f>COUNT($D14:AY14)</f>
        <v>48</v>
      </c>
      <c r="AZ15" s="2">
        <f>COUNT($D14:AZ14)</f>
        <v>49</v>
      </c>
      <c r="BA15" s="2">
        <f>COUNT($D14:BA14)</f>
        <v>50</v>
      </c>
      <c r="BB15" s="2">
        <f>COUNT($D14:BB14)</f>
        <v>51</v>
      </c>
      <c r="BC15" s="2">
        <f>COUNT($D14:BC14)</f>
        <v>52</v>
      </c>
      <c r="BD15" s="2">
        <f>COUNT($D14:BD14)</f>
        <v>53</v>
      </c>
      <c r="BE15" s="2">
        <f>COUNT($D14:BE14)</f>
        <v>54</v>
      </c>
      <c r="BF15" s="2">
        <f>COUNT($D14:BF14)</f>
        <v>55</v>
      </c>
      <c r="BG15" s="2">
        <f>COUNT($D14:BG14)</f>
        <v>56</v>
      </c>
      <c r="BH15" s="2">
        <f>COUNT($D14:BH14)</f>
        <v>57</v>
      </c>
      <c r="BI15" s="2">
        <f>COUNT($D14:BI14)</f>
        <v>58</v>
      </c>
      <c r="BJ15" s="2">
        <f>COUNT($D14:BJ14)</f>
        <v>59</v>
      </c>
      <c r="BK15" s="2">
        <f>COUNT($D14:BK14)</f>
        <v>60</v>
      </c>
      <c r="BL15" s="2">
        <f>COUNT($D14:BL14)</f>
        <v>61</v>
      </c>
      <c r="BM15" s="2">
        <f>COUNT($D14:BM14)</f>
        <v>62</v>
      </c>
      <c r="BN15" s="2">
        <f>COUNT($D14:BN14)</f>
        <v>63</v>
      </c>
      <c r="BO15" s="2">
        <f>COUNT($D14:BO14)</f>
        <v>64</v>
      </c>
      <c r="BP15" s="2">
        <f>COUNT($D14:BP14)</f>
        <v>65</v>
      </c>
      <c r="BQ15" s="2">
        <f>COUNT($D14:BQ14)</f>
        <v>66</v>
      </c>
      <c r="BR15" s="2">
        <f>COUNT($D14:BR14)</f>
        <v>67</v>
      </c>
      <c r="BS15" s="2">
        <f>COUNT($D14:BS14)</f>
        <v>68</v>
      </c>
      <c r="BT15" s="2">
        <f>COUNT($D14:BT14)</f>
        <v>69</v>
      </c>
      <c r="BU15" s="2">
        <f>COUNT($D14:BU14)</f>
        <v>70</v>
      </c>
      <c r="BV15" s="2">
        <f>COUNT($D14:BV14)</f>
        <v>71</v>
      </c>
      <c r="BW15" s="2">
        <f>COUNT($D14:BW14)</f>
        <v>72</v>
      </c>
      <c r="BX15" s="2">
        <f>COUNT($D14:BX14)</f>
        <v>73</v>
      </c>
      <c r="BY15" s="2">
        <f>COUNT($D14:BY14)</f>
        <v>74</v>
      </c>
      <c r="BZ15" s="2">
        <f>COUNT($D14:BZ14)</f>
        <v>75</v>
      </c>
      <c r="CA15" s="2">
        <f>COUNT($D14:CA14)</f>
        <v>76</v>
      </c>
      <c r="CB15" s="2">
        <f>COUNT($D14:CB14)</f>
        <v>77</v>
      </c>
      <c r="CC15" s="2">
        <f>COUNT($D14:CC14)</f>
        <v>78</v>
      </c>
      <c r="CD15" s="2">
        <f>COUNT($D14:CD14)</f>
        <v>79</v>
      </c>
      <c r="CE15" s="2">
        <f>COUNT($D14:CE14)</f>
        <v>80</v>
      </c>
      <c r="CF15" s="2">
        <f>COUNT($D14:CF14)</f>
        <v>81</v>
      </c>
      <c r="CG15" s="2">
        <f>COUNT($D14:CG14)</f>
        <v>82</v>
      </c>
      <c r="CH15" s="2">
        <f>COUNT($D14:CH14)</f>
        <v>83</v>
      </c>
      <c r="CI15" s="2">
        <f>COUNT($D14:CI14)</f>
        <v>84</v>
      </c>
      <c r="CJ15" s="2">
        <f>COUNT($D14:CJ14)</f>
        <v>85</v>
      </c>
      <c r="CK15" s="2">
        <f>COUNT($D14:CK14)</f>
        <v>86</v>
      </c>
      <c r="CL15" s="2">
        <f>COUNT($D14:CL14)</f>
        <v>87</v>
      </c>
      <c r="CM15" s="2">
        <f>COUNT($D14:CM14)</f>
        <v>88</v>
      </c>
      <c r="CN15" s="2">
        <f>COUNT($D14:CN14)</f>
        <v>89</v>
      </c>
      <c r="CO15" s="2">
        <f>COUNT($D14:CO14)</f>
        <v>90</v>
      </c>
      <c r="CP15" s="2">
        <f>COUNT($D14:CP14)</f>
        <v>91</v>
      </c>
      <c r="CQ15" s="2">
        <f>COUNT($D14:CQ14)</f>
        <v>92</v>
      </c>
      <c r="CR15" s="2">
        <f>COUNT($D14:CR14)</f>
        <v>93</v>
      </c>
    </row>
    <row r="16" spans="1:105" x14ac:dyDescent="0.25">
      <c r="B16" s="5">
        <f>IRR(C16:CR16)</f>
        <v>6.5000022616841457E-2</v>
      </c>
      <c r="C16" s="6">
        <v>-100000</v>
      </c>
      <c r="D16" s="6">
        <v>-100000</v>
      </c>
      <c r="E16" s="6">
        <v>-100000</v>
      </c>
      <c r="F16" s="6">
        <v>-100000</v>
      </c>
      <c r="G16" s="6">
        <v>-100000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33">
        <v>2927387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</row>
    <row r="17" spans="1:101" x14ac:dyDescent="0.25">
      <c r="B17" s="5"/>
      <c r="C17" s="6"/>
      <c r="D17" s="6"/>
      <c r="E17" s="6"/>
      <c r="F17" s="6"/>
      <c r="G17" s="9">
        <f>SUM(C16:G16)</f>
        <v>-500000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V17" s="6">
        <f>SUM(R16:V16)</f>
        <v>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33">
        <f>AG16*6.8</f>
        <v>19906231.599999998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Z17" s="10">
        <f>SUM(BA16:BZ16)</f>
        <v>0</v>
      </c>
    </row>
    <row r="19" spans="1:101" x14ac:dyDescent="0.25">
      <c r="A19" s="1" t="s">
        <v>27</v>
      </c>
      <c r="B19" s="1" t="s">
        <v>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1:101" s="8" customFormat="1" x14ac:dyDescent="0.25">
      <c r="A20" s="8" t="s">
        <v>3</v>
      </c>
      <c r="C20" s="8">
        <v>0</v>
      </c>
      <c r="D20" s="8">
        <f>IFERROR(IF(C20+1&lt;=100,C20+1,""),"")</f>
        <v>1</v>
      </c>
      <c r="E20" s="8">
        <f t="shared" ref="E20" si="97">IFERROR(IF(D20+1&lt;=100,D20+1,""),"")</f>
        <v>2</v>
      </c>
      <c r="F20" s="8">
        <f t="shared" ref="F20" si="98">IFERROR(IF(E20+1&lt;=100,E20+1,""),"")</f>
        <v>3</v>
      </c>
      <c r="G20" s="8">
        <f t="shared" ref="G20" si="99">IFERROR(IF(F20+1&lt;=100,F20+1,""),"")</f>
        <v>4</v>
      </c>
      <c r="H20" s="8">
        <f t="shared" ref="H20" si="100">IFERROR(IF(G20+1&lt;=100,G20+1,""),"")</f>
        <v>5</v>
      </c>
      <c r="I20" s="8">
        <f t="shared" ref="I20" si="101">IFERROR(IF(H20+1&lt;=100,H20+1,""),"")</f>
        <v>6</v>
      </c>
      <c r="J20" s="8">
        <f t="shared" ref="J20" si="102">IFERROR(IF(I20+1&lt;=100,I20+1,""),"")</f>
        <v>7</v>
      </c>
      <c r="K20" s="8">
        <f t="shared" ref="K20" si="103">IFERROR(IF(J20+1&lt;=100,J20+1,""),"")</f>
        <v>8</v>
      </c>
      <c r="L20" s="8">
        <f t="shared" ref="L20" si="104">IFERROR(IF(K20+1&lt;=100,K20+1,""),"")</f>
        <v>9</v>
      </c>
      <c r="M20" s="8">
        <f t="shared" ref="M20" si="105">IFERROR(IF(L20+1&lt;=100,L20+1,""),"")</f>
        <v>10</v>
      </c>
      <c r="N20" s="8">
        <f t="shared" ref="N20" si="106">IFERROR(IF(M20+1&lt;=100,M20+1,""),"")</f>
        <v>11</v>
      </c>
      <c r="O20" s="8">
        <f t="shared" ref="O20" si="107">IFERROR(IF(N20+1&lt;=100,N20+1,""),"")</f>
        <v>12</v>
      </c>
      <c r="P20" s="8">
        <f t="shared" ref="P20" si="108">IFERROR(IF(O20+1&lt;=100,O20+1,""),"")</f>
        <v>13</v>
      </c>
      <c r="Q20" s="8">
        <f t="shared" ref="Q20" si="109">IFERROR(IF(P20+1&lt;=100,P20+1,""),"")</f>
        <v>14</v>
      </c>
      <c r="R20" s="8">
        <f t="shared" ref="R20" si="110">IFERROR(IF(Q20+1&lt;=100,Q20+1,""),"")</f>
        <v>15</v>
      </c>
      <c r="S20" s="8">
        <f t="shared" ref="S20" si="111">IFERROR(IF(R20+1&lt;=100,R20+1,""),"")</f>
        <v>16</v>
      </c>
      <c r="T20" s="8">
        <f t="shared" ref="T20" si="112">IFERROR(IF(S20+1&lt;=100,S20+1,""),"")</f>
        <v>17</v>
      </c>
      <c r="U20" s="8">
        <f t="shared" ref="U20" si="113">IFERROR(IF(T20+1&lt;=100,T20+1,""),"")</f>
        <v>18</v>
      </c>
      <c r="V20" s="8">
        <f t="shared" ref="V20" si="114">IFERROR(IF(U20+1&lt;=100,U20+1,""),"")</f>
        <v>19</v>
      </c>
      <c r="W20" s="8">
        <f t="shared" ref="W20" si="115">IFERROR(IF(V20+1&lt;=100,V20+1,""),"")</f>
        <v>20</v>
      </c>
      <c r="X20" s="8">
        <f t="shared" ref="X20" si="116">IFERROR(IF(W20+1&lt;=100,W20+1,""),"")</f>
        <v>21</v>
      </c>
      <c r="Y20" s="8">
        <f t="shared" ref="Y20" si="117">IFERROR(IF(X20+1&lt;=100,X20+1,""),"")</f>
        <v>22</v>
      </c>
      <c r="Z20" s="8">
        <f t="shared" ref="Z20" si="118">IFERROR(IF(Y20+1&lt;=100,Y20+1,""),"")</f>
        <v>23</v>
      </c>
      <c r="AA20" s="8">
        <f t="shared" ref="AA20" si="119">IFERROR(IF(Z20+1&lt;=100,Z20+1,""),"")</f>
        <v>24</v>
      </c>
      <c r="AB20" s="8">
        <f t="shared" ref="AB20" si="120">IFERROR(IF(AA20+1&lt;=100,AA20+1,""),"")</f>
        <v>25</v>
      </c>
      <c r="AC20" s="8">
        <f t="shared" ref="AC20" si="121">IFERROR(IF(AB20+1&lt;=100,AB20+1,""),"")</f>
        <v>26</v>
      </c>
      <c r="AD20" s="8">
        <f t="shared" ref="AD20" si="122">IFERROR(IF(AC20+1&lt;=100,AC20+1,""),"")</f>
        <v>27</v>
      </c>
      <c r="AE20" s="8">
        <f t="shared" ref="AE20" si="123">IFERROR(IF(AD20+1&lt;=100,AD20+1,""),"")</f>
        <v>28</v>
      </c>
      <c r="AF20" s="8">
        <f t="shared" ref="AF20" si="124">IFERROR(IF(AE20+1&lt;=100,AE20+1,""),"")</f>
        <v>29</v>
      </c>
      <c r="AG20" s="8">
        <f t="shared" ref="AG20" si="125">IFERROR(IF(AF20+1&lt;=100,AF20+1,""),"")</f>
        <v>30</v>
      </c>
      <c r="AH20" s="8">
        <f t="shared" ref="AH20" si="126">IFERROR(IF(AG20+1&lt;=100,AG20+1,""),"")</f>
        <v>31</v>
      </c>
      <c r="AI20" s="8">
        <f t="shared" ref="AI20" si="127">IFERROR(IF(AH20+1&lt;=100,AH20+1,""),"")</f>
        <v>32</v>
      </c>
      <c r="AJ20" s="8">
        <f t="shared" ref="AJ20" si="128">IFERROR(IF(AI20+1&lt;=100,AI20+1,""),"")</f>
        <v>33</v>
      </c>
      <c r="AK20" s="8">
        <f t="shared" ref="AK20" si="129">IFERROR(IF(AJ20+1&lt;=100,AJ20+1,""),"")</f>
        <v>34</v>
      </c>
      <c r="AL20" s="8">
        <f t="shared" ref="AL20" si="130">IFERROR(IF(AK20+1&lt;=100,AK20+1,""),"")</f>
        <v>35</v>
      </c>
      <c r="AM20" s="8">
        <f t="shared" ref="AM20" si="131">IFERROR(IF(AL20+1&lt;=100,AL20+1,""),"")</f>
        <v>36</v>
      </c>
      <c r="AN20" s="8">
        <f t="shared" ref="AN20" si="132">IFERROR(IF(AM20+1&lt;=100,AM20+1,""),"")</f>
        <v>37</v>
      </c>
      <c r="AO20" s="8">
        <f t="shared" ref="AO20" si="133">IFERROR(IF(AN20+1&lt;=100,AN20+1,""),"")</f>
        <v>38</v>
      </c>
      <c r="AP20" s="8">
        <f t="shared" ref="AP20" si="134">IFERROR(IF(AO20+1&lt;=100,AO20+1,""),"")</f>
        <v>39</v>
      </c>
      <c r="AQ20" s="8">
        <f t="shared" ref="AQ20" si="135">IFERROR(IF(AP20+1&lt;=100,AP20+1,""),"")</f>
        <v>40</v>
      </c>
      <c r="AR20" s="8">
        <f t="shared" ref="AR20" si="136">IFERROR(IF(AQ20+1&lt;=100,AQ20+1,""),"")</f>
        <v>41</v>
      </c>
      <c r="AS20" s="8">
        <f t="shared" ref="AS20" si="137">IFERROR(IF(AR20+1&lt;=100,AR20+1,""),"")</f>
        <v>42</v>
      </c>
      <c r="AT20" s="8">
        <f t="shared" ref="AT20" si="138">IFERROR(IF(AS20+1&lt;=100,AS20+1,""),"")</f>
        <v>43</v>
      </c>
      <c r="AU20" s="8">
        <f t="shared" ref="AU20" si="139">IFERROR(IF(AT20+1&lt;=100,AT20+1,""),"")</f>
        <v>44</v>
      </c>
      <c r="AV20" s="8">
        <f t="shared" ref="AV20" si="140">IFERROR(IF(AU20+1&lt;=100,AU20+1,""),"")</f>
        <v>45</v>
      </c>
      <c r="AW20" s="8">
        <f t="shared" ref="AW20" si="141">IFERROR(IF(AV20+1&lt;=100,AV20+1,""),"")</f>
        <v>46</v>
      </c>
      <c r="AX20" s="8">
        <f t="shared" ref="AX20" si="142">IFERROR(IF(AW20+1&lt;=100,AW20+1,""),"")</f>
        <v>47</v>
      </c>
      <c r="AY20" s="8">
        <f t="shared" ref="AY20" si="143">IFERROR(IF(AX20+1&lt;=100,AX20+1,""),"")</f>
        <v>48</v>
      </c>
      <c r="AZ20" s="8">
        <f t="shared" ref="AZ20" si="144">IFERROR(IF(AY20+1&lt;=100,AY20+1,""),"")</f>
        <v>49</v>
      </c>
      <c r="BA20" s="8">
        <f t="shared" ref="BA20" si="145">IFERROR(IF(AZ20+1&lt;=100,AZ20+1,""),"")</f>
        <v>50</v>
      </c>
      <c r="BB20" s="8">
        <f t="shared" ref="BB20" si="146">IFERROR(IF(BA20+1&lt;=100,BA20+1,""),"")</f>
        <v>51</v>
      </c>
      <c r="BC20" s="8">
        <f t="shared" ref="BC20" si="147">IFERROR(IF(BB20+1&lt;=100,BB20+1,""),"")</f>
        <v>52</v>
      </c>
      <c r="BD20" s="8">
        <f t="shared" ref="BD20" si="148">IFERROR(IF(BC20+1&lt;=100,BC20+1,""),"")</f>
        <v>53</v>
      </c>
      <c r="BE20" s="8">
        <f t="shared" ref="BE20" si="149">IFERROR(IF(BD20+1&lt;=100,BD20+1,""),"")</f>
        <v>54</v>
      </c>
      <c r="BF20" s="8">
        <f t="shared" ref="BF20" si="150">IFERROR(IF(BE20+1&lt;=100,BE20+1,""),"")</f>
        <v>55</v>
      </c>
      <c r="BG20" s="8">
        <f t="shared" ref="BG20" si="151">IFERROR(IF(BF20+1&lt;=100,BF20+1,""),"")</f>
        <v>56</v>
      </c>
      <c r="BH20" s="8">
        <f t="shared" ref="BH20" si="152">IFERROR(IF(BG20+1&lt;=100,BG20+1,""),"")</f>
        <v>57</v>
      </c>
      <c r="BI20" s="8">
        <f t="shared" ref="BI20" si="153">IFERROR(IF(BH20+1&lt;=100,BH20+1,""),"")</f>
        <v>58</v>
      </c>
      <c r="BJ20" s="8">
        <f t="shared" ref="BJ20" si="154">IFERROR(IF(BI20+1&lt;=100,BI20+1,""),"")</f>
        <v>59</v>
      </c>
      <c r="BK20" s="8">
        <f t="shared" ref="BK20" si="155">IFERROR(IF(BJ20+1&lt;=100,BJ20+1,""),"")</f>
        <v>60</v>
      </c>
      <c r="BL20" s="8">
        <f t="shared" ref="BL20" si="156">IFERROR(IF(BK20+1&lt;=100,BK20+1,""),"")</f>
        <v>61</v>
      </c>
      <c r="BM20" s="8">
        <f t="shared" ref="BM20" si="157">IFERROR(IF(BL20+1&lt;=100,BL20+1,""),"")</f>
        <v>62</v>
      </c>
      <c r="BN20" s="8">
        <f t="shared" ref="BN20" si="158">IFERROR(IF(BM20+1&lt;=100,BM20+1,""),"")</f>
        <v>63</v>
      </c>
      <c r="BO20" s="8">
        <f t="shared" ref="BO20" si="159">IFERROR(IF(BN20+1&lt;=100,BN20+1,""),"")</f>
        <v>64</v>
      </c>
      <c r="BP20" s="8">
        <f t="shared" ref="BP20" si="160">IFERROR(IF(BO20+1&lt;=100,BO20+1,""),"")</f>
        <v>65</v>
      </c>
      <c r="BQ20" s="8">
        <f t="shared" ref="BQ20" si="161">IFERROR(IF(BP20+1&lt;=100,BP20+1,""),"")</f>
        <v>66</v>
      </c>
      <c r="BR20" s="8">
        <f t="shared" ref="BR20" si="162">IFERROR(IF(BQ20+1&lt;=100,BQ20+1,""),"")</f>
        <v>67</v>
      </c>
      <c r="BS20" s="8">
        <f t="shared" ref="BS20" si="163">IFERROR(IF(BR20+1&lt;=100,BR20+1,""),"")</f>
        <v>68</v>
      </c>
      <c r="BT20" s="8">
        <f t="shared" ref="BT20" si="164">IFERROR(IF(BS20+1&lt;=100,BS20+1,""),"")</f>
        <v>69</v>
      </c>
      <c r="BU20" s="8">
        <f t="shared" ref="BU20" si="165">IFERROR(IF(BT20+1&lt;=100,BT20+1,""),"")</f>
        <v>70</v>
      </c>
      <c r="BV20" s="8">
        <f t="shared" ref="BV20" si="166">IFERROR(IF(BU20+1&lt;=100,BU20+1,""),"")</f>
        <v>71</v>
      </c>
      <c r="BW20" s="8">
        <f t="shared" ref="BW20" si="167">IFERROR(IF(BV20+1&lt;=100,BV20+1,""),"")</f>
        <v>72</v>
      </c>
      <c r="BX20" s="8">
        <f t="shared" ref="BX20" si="168">IFERROR(IF(BW20+1&lt;=100,BW20+1,""),"")</f>
        <v>73</v>
      </c>
      <c r="BY20" s="8">
        <f t="shared" ref="BY20" si="169">IFERROR(IF(BX20+1&lt;=100,BX20+1,""),"")</f>
        <v>74</v>
      </c>
      <c r="BZ20" s="8">
        <f t="shared" ref="BZ20" si="170">IFERROR(IF(BY20+1&lt;=100,BY20+1,""),"")</f>
        <v>75</v>
      </c>
      <c r="CA20" s="8">
        <f t="shared" ref="CA20" si="171">IFERROR(IF(BZ20+1&lt;=100,BZ20+1,""),"")</f>
        <v>76</v>
      </c>
      <c r="CB20" s="8">
        <f t="shared" ref="CB20" si="172">IFERROR(IF(CA20+1&lt;=100,CA20+1,""),"")</f>
        <v>77</v>
      </c>
      <c r="CC20" s="8">
        <f t="shared" ref="CC20" si="173">IFERROR(IF(CB20+1&lt;=100,CB20+1,""),"")</f>
        <v>78</v>
      </c>
      <c r="CD20" s="8">
        <f t="shared" ref="CD20" si="174">IFERROR(IF(CC20+1&lt;=100,CC20+1,""),"")</f>
        <v>79</v>
      </c>
      <c r="CE20" s="8">
        <f t="shared" ref="CE20" si="175">IFERROR(IF(CD20+1&lt;=100,CD20+1,""),"")</f>
        <v>80</v>
      </c>
      <c r="CF20" s="8">
        <f t="shared" ref="CF20" si="176">IFERROR(IF(CE20+1&lt;=100,CE20+1,""),"")</f>
        <v>81</v>
      </c>
      <c r="CG20" s="8">
        <f t="shared" ref="CG20" si="177">IFERROR(IF(CF20+1&lt;=100,CF20+1,""),"")</f>
        <v>82</v>
      </c>
      <c r="CH20" s="8">
        <f t="shared" ref="CH20" si="178">IFERROR(IF(CG20+1&lt;=100,CG20+1,""),"")</f>
        <v>83</v>
      </c>
      <c r="CI20" s="8">
        <f t="shared" ref="CI20" si="179">IFERROR(IF(CH20+1&lt;=100,CH20+1,""),"")</f>
        <v>84</v>
      </c>
      <c r="CJ20" s="8">
        <f t="shared" ref="CJ20" si="180">IFERROR(IF(CI20+1&lt;=100,CI20+1,""),"")</f>
        <v>85</v>
      </c>
      <c r="CK20" s="8">
        <f t="shared" ref="CK20" si="181">IFERROR(IF(CJ20+1&lt;=100,CJ20+1,""),"")</f>
        <v>86</v>
      </c>
      <c r="CL20" s="8">
        <f t="shared" ref="CL20" si="182">IFERROR(IF(CK20+1&lt;=100,CK20+1,""),"")</f>
        <v>87</v>
      </c>
      <c r="CM20" s="8">
        <f t="shared" ref="CM20" si="183">IFERROR(IF(CL20+1&lt;=100,CL20+1,""),"")</f>
        <v>88</v>
      </c>
      <c r="CN20" s="8">
        <f t="shared" ref="CN20" si="184">IFERROR(IF(CM20+1&lt;=100,CM20+1,""),"")</f>
        <v>89</v>
      </c>
      <c r="CO20" s="8">
        <f t="shared" ref="CO20" si="185">IFERROR(IF(CN20+1&lt;=100,CN20+1,""),"")</f>
        <v>90</v>
      </c>
      <c r="CP20" s="8">
        <f t="shared" ref="CP20" si="186">IFERROR(IF(CO20+1&lt;=100,CO20+1,""),"")</f>
        <v>91</v>
      </c>
      <c r="CQ20" s="8">
        <f t="shared" ref="CQ20" si="187">IFERROR(IF(CP20+1&lt;=100,CP20+1,""),"")</f>
        <v>92</v>
      </c>
      <c r="CR20" s="8">
        <f t="shared" ref="CR20" si="188">IFERROR(IF(CQ20+1&lt;=100,CQ20+1,""),"")</f>
        <v>93</v>
      </c>
      <c r="CS20" s="8">
        <f t="shared" ref="CS20" si="189">IFERROR(IF(CR20+1&lt;=100,CR20+1,""),"")</f>
        <v>94</v>
      </c>
      <c r="CT20" s="8">
        <f t="shared" ref="CT20" si="190">IFERROR(IF(CS20+1&lt;=100,CS20+1,""),"")</f>
        <v>95</v>
      </c>
      <c r="CU20" s="8">
        <f t="shared" ref="CU20" si="191">IFERROR(IF(CT20+1&lt;=100,CT20+1,""),"")</f>
        <v>96</v>
      </c>
    </row>
    <row r="21" spans="1:101" s="2" customFormat="1" x14ac:dyDescent="0.25">
      <c r="A21" s="2" t="s">
        <v>1</v>
      </c>
      <c r="C21" s="2">
        <v>0</v>
      </c>
      <c r="D21" s="2">
        <f>COUNT($D20:D20)</f>
        <v>1</v>
      </c>
      <c r="E21" s="2">
        <f>COUNT($D20:E20)</f>
        <v>2</v>
      </c>
      <c r="F21" s="2">
        <f>COUNT($D20:F20)</f>
        <v>3</v>
      </c>
      <c r="G21" s="2">
        <f>COUNT($D20:G20)</f>
        <v>4</v>
      </c>
      <c r="H21" s="2">
        <f>COUNT($D20:H20)</f>
        <v>5</v>
      </c>
      <c r="I21" s="2">
        <f>COUNT($D20:I20)</f>
        <v>6</v>
      </c>
      <c r="J21" s="2">
        <f>COUNT($D20:J20)</f>
        <v>7</v>
      </c>
      <c r="K21" s="2">
        <f>COUNT($D20:K20)</f>
        <v>8</v>
      </c>
      <c r="L21" s="2">
        <f>COUNT($D20:L20)</f>
        <v>9</v>
      </c>
      <c r="M21" s="2">
        <f>COUNT($D20:M20)</f>
        <v>10</v>
      </c>
      <c r="N21" s="2">
        <f>COUNT($D20:N20)</f>
        <v>11</v>
      </c>
      <c r="O21" s="2">
        <f>COUNT($D20:O20)</f>
        <v>12</v>
      </c>
      <c r="P21" s="2">
        <f>COUNT($D20:P20)</f>
        <v>13</v>
      </c>
      <c r="Q21" s="2">
        <f>COUNT($D20:Q20)</f>
        <v>14</v>
      </c>
      <c r="R21" s="2">
        <f>COUNT($D20:R20)</f>
        <v>15</v>
      </c>
      <c r="S21" s="2">
        <f>COUNT($D20:S20)</f>
        <v>16</v>
      </c>
      <c r="T21" s="2">
        <f>COUNT($D20:T20)</f>
        <v>17</v>
      </c>
      <c r="U21" s="2">
        <f>COUNT($D20:U20)</f>
        <v>18</v>
      </c>
      <c r="V21" s="2">
        <f>COUNT($D20:V20)</f>
        <v>19</v>
      </c>
      <c r="W21" s="2">
        <f>COUNT($D20:W20)</f>
        <v>20</v>
      </c>
      <c r="X21" s="2">
        <f>COUNT($D20:X20)</f>
        <v>21</v>
      </c>
      <c r="Y21" s="2">
        <f>COUNT($D20:Y20)</f>
        <v>22</v>
      </c>
      <c r="Z21" s="2">
        <f>COUNT($D20:Z20)</f>
        <v>23</v>
      </c>
      <c r="AA21" s="2">
        <f>COUNT($D20:AA20)</f>
        <v>24</v>
      </c>
      <c r="AB21" s="2">
        <f>COUNT($D20:AB20)</f>
        <v>25</v>
      </c>
      <c r="AC21" s="2">
        <f>COUNT($D20:AC20)</f>
        <v>26</v>
      </c>
      <c r="AD21" s="2">
        <f>COUNT($D20:AD20)</f>
        <v>27</v>
      </c>
      <c r="AE21" s="2">
        <f>COUNT($D20:AE20)</f>
        <v>28</v>
      </c>
      <c r="AF21" s="2">
        <f>COUNT($D20:AF20)</f>
        <v>29</v>
      </c>
      <c r="AG21" s="2">
        <f>COUNT($D20:AG20)</f>
        <v>30</v>
      </c>
      <c r="AH21" s="2">
        <f>COUNT($D20:AH20)</f>
        <v>31</v>
      </c>
      <c r="AI21" s="2">
        <f>COUNT($D20:AI20)</f>
        <v>32</v>
      </c>
      <c r="AJ21" s="2">
        <f>COUNT($D20:AJ20)</f>
        <v>33</v>
      </c>
      <c r="AK21" s="2">
        <f>COUNT($D20:AK20)</f>
        <v>34</v>
      </c>
      <c r="AL21" s="2">
        <f>COUNT($D20:AL20)</f>
        <v>35</v>
      </c>
      <c r="AM21" s="2">
        <f>COUNT($D20:AM20)</f>
        <v>36</v>
      </c>
      <c r="AN21" s="2">
        <f>COUNT($D20:AN20)</f>
        <v>37</v>
      </c>
      <c r="AO21" s="2">
        <f>COUNT($D20:AO20)</f>
        <v>38</v>
      </c>
      <c r="AP21" s="2">
        <f>COUNT($D20:AP20)</f>
        <v>39</v>
      </c>
      <c r="AQ21" s="35">
        <f>COUNT($D20:AQ20)</f>
        <v>40</v>
      </c>
      <c r="AR21" s="2">
        <f>COUNT($D20:AR20)</f>
        <v>41</v>
      </c>
      <c r="AS21" s="2">
        <f>COUNT($D20:AS20)</f>
        <v>42</v>
      </c>
      <c r="AT21" s="2">
        <f>COUNT($D20:AT20)</f>
        <v>43</v>
      </c>
      <c r="AU21" s="2">
        <f>COUNT($D20:AU20)</f>
        <v>44</v>
      </c>
      <c r="AV21" s="2">
        <f>COUNT($D20:AV20)</f>
        <v>45</v>
      </c>
      <c r="AW21" s="2">
        <f>COUNT($D20:AW20)</f>
        <v>46</v>
      </c>
      <c r="AX21" s="2">
        <f>COUNT($D20:AX20)</f>
        <v>47</v>
      </c>
      <c r="AY21" s="2">
        <f>COUNT($D20:AY20)</f>
        <v>48</v>
      </c>
      <c r="AZ21" s="2">
        <f>COUNT($D20:AZ20)</f>
        <v>49</v>
      </c>
      <c r="BA21" s="2">
        <f>COUNT($D20:BA20)</f>
        <v>50</v>
      </c>
      <c r="BB21" s="2">
        <f>COUNT($D20:BB20)</f>
        <v>51</v>
      </c>
      <c r="BC21" s="2">
        <f>COUNT($D20:BC20)</f>
        <v>52</v>
      </c>
      <c r="BD21" s="2">
        <f>COUNT($D20:BD20)</f>
        <v>53</v>
      </c>
      <c r="BE21" s="2">
        <f>COUNT($D20:BE20)</f>
        <v>54</v>
      </c>
      <c r="BF21" s="2">
        <f>COUNT($D20:BF20)</f>
        <v>55</v>
      </c>
      <c r="BG21" s="2">
        <f>COUNT($D20:BG20)</f>
        <v>56</v>
      </c>
      <c r="BH21" s="2">
        <f>COUNT($D20:BH20)</f>
        <v>57</v>
      </c>
      <c r="BI21" s="2">
        <f>COUNT($D20:BI20)</f>
        <v>58</v>
      </c>
      <c r="BJ21" s="2">
        <f>COUNT($D20:BJ20)</f>
        <v>59</v>
      </c>
      <c r="BK21" s="2">
        <f>COUNT($D20:BK20)</f>
        <v>60</v>
      </c>
      <c r="BL21" s="2">
        <f>COUNT($D20:BL20)</f>
        <v>61</v>
      </c>
      <c r="BM21" s="2">
        <f>COUNT($D20:BM20)</f>
        <v>62</v>
      </c>
      <c r="BN21" s="2">
        <f>COUNT($D20:BN20)</f>
        <v>63</v>
      </c>
      <c r="BO21" s="2">
        <f>COUNT($D20:BO20)</f>
        <v>64</v>
      </c>
      <c r="BP21" s="2">
        <f>COUNT($D20:BP20)</f>
        <v>65</v>
      </c>
      <c r="BQ21" s="2">
        <f>COUNT($D20:BQ20)</f>
        <v>66</v>
      </c>
      <c r="BR21" s="2">
        <f>COUNT($D20:BR20)</f>
        <v>67</v>
      </c>
      <c r="BS21" s="2">
        <f>COUNT($D20:BS20)</f>
        <v>68</v>
      </c>
      <c r="BT21" s="2">
        <f>COUNT($D20:BT20)</f>
        <v>69</v>
      </c>
      <c r="BU21" s="2">
        <f>COUNT($D20:BU20)</f>
        <v>70</v>
      </c>
      <c r="BV21" s="2">
        <f>COUNT($D20:BV20)</f>
        <v>71</v>
      </c>
      <c r="BW21" s="2">
        <f>COUNT($D20:BW20)</f>
        <v>72</v>
      </c>
      <c r="BX21" s="2">
        <f>COUNT($D20:BX20)</f>
        <v>73</v>
      </c>
      <c r="BY21" s="2">
        <f>COUNT($D20:BY20)</f>
        <v>74</v>
      </c>
      <c r="BZ21" s="2">
        <f>COUNT($D20:BZ20)</f>
        <v>75</v>
      </c>
      <c r="CA21" s="2">
        <f>COUNT($D20:CA20)</f>
        <v>76</v>
      </c>
      <c r="CB21" s="2">
        <f>COUNT($D20:CB20)</f>
        <v>77</v>
      </c>
      <c r="CC21" s="2">
        <f>COUNT($D20:CC20)</f>
        <v>78</v>
      </c>
      <c r="CD21" s="2">
        <f>COUNT($D20:CD20)</f>
        <v>79</v>
      </c>
      <c r="CE21" s="2">
        <f>COUNT($D20:CE20)</f>
        <v>80</v>
      </c>
      <c r="CF21" s="2">
        <f>COUNT($D20:CF20)</f>
        <v>81</v>
      </c>
      <c r="CG21" s="2">
        <f>COUNT($D20:CG20)</f>
        <v>82</v>
      </c>
      <c r="CH21" s="2">
        <f>COUNT($D20:CH20)</f>
        <v>83</v>
      </c>
      <c r="CI21" s="2">
        <f>COUNT($D20:CI20)</f>
        <v>84</v>
      </c>
      <c r="CJ21" s="2">
        <f>COUNT($D20:CJ20)</f>
        <v>85</v>
      </c>
      <c r="CK21" s="2">
        <f>COUNT($D20:CK20)</f>
        <v>86</v>
      </c>
      <c r="CL21" s="2">
        <f>COUNT($D20:CL20)</f>
        <v>87</v>
      </c>
      <c r="CM21" s="2">
        <f>COUNT($D20:CM20)</f>
        <v>88</v>
      </c>
      <c r="CN21" s="2">
        <f>COUNT($D20:CN20)</f>
        <v>89</v>
      </c>
      <c r="CO21" s="2">
        <f>COUNT($D20:CO20)</f>
        <v>90</v>
      </c>
      <c r="CP21" s="2">
        <f>COUNT($D20:CP20)</f>
        <v>91</v>
      </c>
      <c r="CQ21" s="2">
        <f>COUNT($D20:CQ20)</f>
        <v>92</v>
      </c>
      <c r="CR21" s="2">
        <f>COUNT($D20:CR20)</f>
        <v>93</v>
      </c>
    </row>
    <row r="22" spans="1:101" x14ac:dyDescent="0.25">
      <c r="B22" s="5">
        <f>IRR(C22:CR22)</f>
        <v>6.5000017635050922E-2</v>
      </c>
      <c r="C22" s="6">
        <v>-100000</v>
      </c>
      <c r="D22" s="6">
        <v>-100000</v>
      </c>
      <c r="E22" s="6">
        <v>-100000</v>
      </c>
      <c r="F22" s="6">
        <v>-100000</v>
      </c>
      <c r="G22" s="6">
        <v>-100000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33">
        <v>5495108</v>
      </c>
      <c r="AR22" s="6" t="s">
        <v>24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</row>
    <row r="23" spans="1:101" x14ac:dyDescent="0.25">
      <c r="B23" s="5"/>
      <c r="C23" s="6"/>
      <c r="D23" s="6"/>
      <c r="E23" s="6"/>
      <c r="F23" s="6"/>
      <c r="G23" s="9">
        <f>SUM(C22:G22)</f>
        <v>-500000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V23" s="6">
        <f>SUM(R22:V22)</f>
        <v>0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>AG22</f>
        <v>0</v>
      </c>
      <c r="AH23" s="6"/>
      <c r="AI23" s="6"/>
      <c r="AJ23" s="6"/>
      <c r="AK23" s="6"/>
      <c r="AL23" s="6"/>
      <c r="AM23" s="6"/>
      <c r="AN23" s="6"/>
      <c r="AO23" s="6"/>
      <c r="AP23" s="6"/>
      <c r="AQ23" s="33">
        <f>AQ22*6.8</f>
        <v>37366734.399999999</v>
      </c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CD23" s="10">
        <f>SUM(BA22:CD22)</f>
        <v>0</v>
      </c>
    </row>
    <row r="26" spans="1:101" x14ac:dyDescent="0.25">
      <c r="A26" s="1" t="s">
        <v>27</v>
      </c>
      <c r="B26" s="1" t="s">
        <v>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101" s="8" customFormat="1" x14ac:dyDescent="0.25">
      <c r="A27" s="8" t="s">
        <v>3</v>
      </c>
      <c r="C27" s="8">
        <v>0</v>
      </c>
      <c r="D27" s="8">
        <f>IFERROR(IF(C27+1&lt;=100,C27+1,""),"")</f>
        <v>1</v>
      </c>
      <c r="E27" s="8">
        <f t="shared" ref="E27" si="192">IFERROR(IF(D27+1&lt;=100,D27+1,""),"")</f>
        <v>2</v>
      </c>
      <c r="F27" s="8">
        <f t="shared" ref="F27" si="193">IFERROR(IF(E27+1&lt;=100,E27+1,""),"")</f>
        <v>3</v>
      </c>
      <c r="G27" s="8">
        <f t="shared" ref="G27" si="194">IFERROR(IF(F27+1&lt;=100,F27+1,""),"")</f>
        <v>4</v>
      </c>
      <c r="H27" s="8">
        <f t="shared" ref="H27" si="195">IFERROR(IF(G27+1&lt;=100,G27+1,""),"")</f>
        <v>5</v>
      </c>
      <c r="I27" s="8">
        <f t="shared" ref="I27" si="196">IFERROR(IF(H27+1&lt;=100,H27+1,""),"")</f>
        <v>6</v>
      </c>
      <c r="J27" s="8">
        <f t="shared" ref="J27" si="197">IFERROR(IF(I27+1&lt;=100,I27+1,""),"")</f>
        <v>7</v>
      </c>
      <c r="K27" s="8">
        <f t="shared" ref="K27" si="198">IFERROR(IF(J27+1&lt;=100,J27+1,""),"")</f>
        <v>8</v>
      </c>
      <c r="L27" s="8">
        <f t="shared" ref="L27" si="199">IFERROR(IF(K27+1&lt;=100,K27+1,""),"")</f>
        <v>9</v>
      </c>
      <c r="M27" s="8">
        <f t="shared" ref="M27" si="200">IFERROR(IF(L27+1&lt;=100,L27+1,""),"")</f>
        <v>10</v>
      </c>
      <c r="N27" s="8">
        <f t="shared" ref="N27" si="201">IFERROR(IF(M27+1&lt;=100,M27+1,""),"")</f>
        <v>11</v>
      </c>
      <c r="O27" s="8">
        <f t="shared" ref="O27" si="202">IFERROR(IF(N27+1&lt;=100,N27+1,""),"")</f>
        <v>12</v>
      </c>
      <c r="P27" s="8">
        <f t="shared" ref="P27" si="203">IFERROR(IF(O27+1&lt;=100,O27+1,""),"")</f>
        <v>13</v>
      </c>
      <c r="Q27" s="8">
        <f t="shared" ref="Q27" si="204">IFERROR(IF(P27+1&lt;=100,P27+1,""),"")</f>
        <v>14</v>
      </c>
      <c r="R27" s="8">
        <f t="shared" ref="R27" si="205">IFERROR(IF(Q27+1&lt;=100,Q27+1,""),"")</f>
        <v>15</v>
      </c>
      <c r="S27" s="8">
        <f t="shared" ref="S27" si="206">IFERROR(IF(R27+1&lt;=100,R27+1,""),"")</f>
        <v>16</v>
      </c>
      <c r="T27" s="8">
        <f t="shared" ref="T27" si="207">IFERROR(IF(S27+1&lt;=100,S27+1,""),"")</f>
        <v>17</v>
      </c>
      <c r="U27" s="8">
        <f t="shared" ref="U27" si="208">IFERROR(IF(T27+1&lt;=100,T27+1,""),"")</f>
        <v>18</v>
      </c>
      <c r="V27" s="8">
        <f t="shared" ref="V27" si="209">IFERROR(IF(U27+1&lt;=100,U27+1,""),"")</f>
        <v>19</v>
      </c>
      <c r="W27" s="8">
        <f t="shared" ref="W27" si="210">IFERROR(IF(V27+1&lt;=100,V27+1,""),"")</f>
        <v>20</v>
      </c>
      <c r="X27" s="8">
        <f t="shared" ref="X27" si="211">IFERROR(IF(W27+1&lt;=100,W27+1,""),"")</f>
        <v>21</v>
      </c>
      <c r="Y27" s="8">
        <f t="shared" ref="Y27" si="212">IFERROR(IF(X27+1&lt;=100,X27+1,""),"")</f>
        <v>22</v>
      </c>
      <c r="Z27" s="8">
        <f t="shared" ref="Z27" si="213">IFERROR(IF(Y27+1&lt;=100,Y27+1,""),"")</f>
        <v>23</v>
      </c>
      <c r="AA27" s="8">
        <f t="shared" ref="AA27" si="214">IFERROR(IF(Z27+1&lt;=100,Z27+1,""),"")</f>
        <v>24</v>
      </c>
      <c r="AB27" s="8">
        <f t="shared" ref="AB27" si="215">IFERROR(IF(AA27+1&lt;=100,AA27+1,""),"")</f>
        <v>25</v>
      </c>
      <c r="AC27" s="8">
        <f t="shared" ref="AC27" si="216">IFERROR(IF(AB27+1&lt;=100,AB27+1,""),"")</f>
        <v>26</v>
      </c>
      <c r="AD27" s="8">
        <f t="shared" ref="AD27" si="217">IFERROR(IF(AC27+1&lt;=100,AC27+1,""),"")</f>
        <v>27</v>
      </c>
      <c r="AE27" s="8">
        <f t="shared" ref="AE27" si="218">IFERROR(IF(AD27+1&lt;=100,AD27+1,""),"")</f>
        <v>28</v>
      </c>
      <c r="AF27" s="8">
        <f t="shared" ref="AF27" si="219">IFERROR(IF(AE27+1&lt;=100,AE27+1,""),"")</f>
        <v>29</v>
      </c>
      <c r="AG27" s="8">
        <f t="shared" ref="AG27" si="220">IFERROR(IF(AF27+1&lt;=100,AF27+1,""),"")</f>
        <v>30</v>
      </c>
      <c r="AH27" s="8">
        <f t="shared" ref="AH27" si="221">IFERROR(IF(AG27+1&lt;=100,AG27+1,""),"")</f>
        <v>31</v>
      </c>
      <c r="AI27" s="8">
        <f t="shared" ref="AI27" si="222">IFERROR(IF(AH27+1&lt;=100,AH27+1,""),"")</f>
        <v>32</v>
      </c>
      <c r="AJ27" s="8">
        <f t="shared" ref="AJ27" si="223">IFERROR(IF(AI27+1&lt;=100,AI27+1,""),"")</f>
        <v>33</v>
      </c>
      <c r="AK27" s="8">
        <f t="shared" ref="AK27" si="224">IFERROR(IF(AJ27+1&lt;=100,AJ27+1,""),"")</f>
        <v>34</v>
      </c>
      <c r="AL27" s="8">
        <f t="shared" ref="AL27" si="225">IFERROR(IF(AK27+1&lt;=100,AK27+1,""),"")</f>
        <v>35</v>
      </c>
      <c r="AM27" s="8">
        <f t="shared" ref="AM27" si="226">IFERROR(IF(AL27+1&lt;=100,AL27+1,""),"")</f>
        <v>36</v>
      </c>
      <c r="AN27" s="8">
        <f t="shared" ref="AN27" si="227">IFERROR(IF(AM27+1&lt;=100,AM27+1,""),"")</f>
        <v>37</v>
      </c>
      <c r="AO27" s="8">
        <f t="shared" ref="AO27" si="228">IFERROR(IF(AN27+1&lt;=100,AN27+1,""),"")</f>
        <v>38</v>
      </c>
      <c r="AP27" s="8">
        <f t="shared" ref="AP27" si="229">IFERROR(IF(AO27+1&lt;=100,AO27+1,""),"")</f>
        <v>39</v>
      </c>
      <c r="AQ27" s="8">
        <f t="shared" ref="AQ27" si="230">IFERROR(IF(AP27+1&lt;=100,AP27+1,""),"")</f>
        <v>40</v>
      </c>
      <c r="AR27" s="8">
        <f t="shared" ref="AR27" si="231">IFERROR(IF(AQ27+1&lt;=100,AQ27+1,""),"")</f>
        <v>41</v>
      </c>
      <c r="AS27" s="8">
        <f t="shared" ref="AS27" si="232">IFERROR(IF(AR27+1&lt;=100,AR27+1,""),"")</f>
        <v>42</v>
      </c>
      <c r="AT27" s="8">
        <f t="shared" ref="AT27" si="233">IFERROR(IF(AS27+1&lt;=100,AS27+1,""),"")</f>
        <v>43</v>
      </c>
      <c r="AU27" s="8">
        <f t="shared" ref="AU27" si="234">IFERROR(IF(AT27+1&lt;=100,AT27+1,""),"")</f>
        <v>44</v>
      </c>
      <c r="AV27" s="8">
        <f t="shared" ref="AV27" si="235">IFERROR(IF(AU27+1&lt;=100,AU27+1,""),"")</f>
        <v>45</v>
      </c>
      <c r="AW27" s="8">
        <f t="shared" ref="AW27" si="236">IFERROR(IF(AV27+1&lt;=100,AV27+1,""),"")</f>
        <v>46</v>
      </c>
      <c r="AX27" s="8">
        <f t="shared" ref="AX27" si="237">IFERROR(IF(AW27+1&lt;=100,AW27+1,""),"")</f>
        <v>47</v>
      </c>
      <c r="AY27" s="8">
        <f t="shared" ref="AY27" si="238">IFERROR(IF(AX27+1&lt;=100,AX27+1,""),"")</f>
        <v>48</v>
      </c>
      <c r="AZ27" s="8">
        <f t="shared" ref="AZ27" si="239">IFERROR(IF(AY27+1&lt;=100,AY27+1,""),"")</f>
        <v>49</v>
      </c>
      <c r="BA27" s="8">
        <f t="shared" ref="BA27" si="240">IFERROR(IF(AZ27+1&lt;=100,AZ27+1,""),"")</f>
        <v>50</v>
      </c>
      <c r="BB27" s="8">
        <f t="shared" ref="BB27" si="241">IFERROR(IF(BA27+1&lt;=100,BA27+1,""),"")</f>
        <v>51</v>
      </c>
      <c r="BC27" s="8">
        <f t="shared" ref="BC27" si="242">IFERROR(IF(BB27+1&lt;=100,BB27+1,""),"")</f>
        <v>52</v>
      </c>
      <c r="BD27" s="8">
        <f t="shared" ref="BD27" si="243">IFERROR(IF(BC27+1&lt;=100,BC27+1,""),"")</f>
        <v>53</v>
      </c>
      <c r="BE27" s="8">
        <f t="shared" ref="BE27" si="244">IFERROR(IF(BD27+1&lt;=100,BD27+1,""),"")</f>
        <v>54</v>
      </c>
      <c r="BF27" s="8">
        <f t="shared" ref="BF27" si="245">IFERROR(IF(BE27+1&lt;=100,BE27+1,""),"")</f>
        <v>55</v>
      </c>
      <c r="BG27" s="8">
        <f t="shared" ref="BG27" si="246">IFERROR(IF(BF27+1&lt;=100,BF27+1,""),"")</f>
        <v>56</v>
      </c>
      <c r="BH27" s="8">
        <f t="shared" ref="BH27" si="247">IFERROR(IF(BG27+1&lt;=100,BG27+1,""),"")</f>
        <v>57</v>
      </c>
      <c r="BI27" s="8">
        <f t="shared" ref="BI27" si="248">IFERROR(IF(BH27+1&lt;=100,BH27+1,""),"")</f>
        <v>58</v>
      </c>
      <c r="BJ27" s="8">
        <f t="shared" ref="BJ27" si="249">IFERROR(IF(BI27+1&lt;=100,BI27+1,""),"")</f>
        <v>59</v>
      </c>
      <c r="BK27" s="8">
        <f t="shared" ref="BK27" si="250">IFERROR(IF(BJ27+1&lt;=100,BJ27+1,""),"")</f>
        <v>60</v>
      </c>
      <c r="BL27" s="8">
        <f t="shared" ref="BL27" si="251">IFERROR(IF(BK27+1&lt;=100,BK27+1,""),"")</f>
        <v>61</v>
      </c>
      <c r="BM27" s="8">
        <f t="shared" ref="BM27" si="252">IFERROR(IF(BL27+1&lt;=100,BL27+1,""),"")</f>
        <v>62</v>
      </c>
      <c r="BN27" s="8">
        <f t="shared" ref="BN27" si="253">IFERROR(IF(BM27+1&lt;=100,BM27+1,""),"")</f>
        <v>63</v>
      </c>
      <c r="BO27" s="8">
        <f t="shared" ref="BO27" si="254">IFERROR(IF(BN27+1&lt;=100,BN27+1,""),"")</f>
        <v>64</v>
      </c>
      <c r="BP27" s="8">
        <f t="shared" ref="BP27" si="255">IFERROR(IF(BO27+1&lt;=100,BO27+1,""),"")</f>
        <v>65</v>
      </c>
      <c r="BQ27" s="8">
        <f t="shared" ref="BQ27" si="256">IFERROR(IF(BP27+1&lt;=100,BP27+1,""),"")</f>
        <v>66</v>
      </c>
      <c r="BR27" s="8">
        <f t="shared" ref="BR27" si="257">IFERROR(IF(BQ27+1&lt;=100,BQ27+1,""),"")</f>
        <v>67</v>
      </c>
      <c r="BS27" s="8">
        <f t="shared" ref="BS27" si="258">IFERROR(IF(BR27+1&lt;=100,BR27+1,""),"")</f>
        <v>68</v>
      </c>
      <c r="BT27" s="8">
        <f t="shared" ref="BT27" si="259">IFERROR(IF(BS27+1&lt;=100,BS27+1,""),"")</f>
        <v>69</v>
      </c>
      <c r="BU27" s="8">
        <f t="shared" ref="BU27" si="260">IFERROR(IF(BT27+1&lt;=100,BT27+1,""),"")</f>
        <v>70</v>
      </c>
      <c r="BV27" s="8">
        <f t="shared" ref="BV27" si="261">IFERROR(IF(BU27+1&lt;=100,BU27+1,""),"")</f>
        <v>71</v>
      </c>
      <c r="BW27" s="8">
        <f t="shared" ref="BW27" si="262">IFERROR(IF(BV27+1&lt;=100,BV27+1,""),"")</f>
        <v>72</v>
      </c>
      <c r="BX27" s="8">
        <f t="shared" ref="BX27" si="263">IFERROR(IF(BW27+1&lt;=100,BW27+1,""),"")</f>
        <v>73</v>
      </c>
      <c r="BY27" s="8">
        <f t="shared" ref="BY27" si="264">IFERROR(IF(BX27+1&lt;=100,BX27+1,""),"")</f>
        <v>74</v>
      </c>
      <c r="BZ27" s="8">
        <f t="shared" ref="BZ27" si="265">IFERROR(IF(BY27+1&lt;=100,BY27+1,""),"")</f>
        <v>75</v>
      </c>
      <c r="CA27" s="8">
        <f t="shared" ref="CA27" si="266">IFERROR(IF(BZ27+1&lt;=100,BZ27+1,""),"")</f>
        <v>76</v>
      </c>
      <c r="CB27" s="8">
        <f t="shared" ref="CB27" si="267">IFERROR(IF(CA27+1&lt;=100,CA27+1,""),"")</f>
        <v>77</v>
      </c>
      <c r="CC27" s="8">
        <f t="shared" ref="CC27" si="268">IFERROR(IF(CB27+1&lt;=100,CB27+1,""),"")</f>
        <v>78</v>
      </c>
      <c r="CD27" s="8">
        <f t="shared" ref="CD27" si="269">IFERROR(IF(CC27+1&lt;=100,CC27+1,""),"")</f>
        <v>79</v>
      </c>
      <c r="CE27" s="8">
        <f t="shared" ref="CE27" si="270">IFERROR(IF(CD27+1&lt;=100,CD27+1,""),"")</f>
        <v>80</v>
      </c>
      <c r="CF27" s="8">
        <f t="shared" ref="CF27" si="271">IFERROR(IF(CE27+1&lt;=100,CE27+1,""),"")</f>
        <v>81</v>
      </c>
      <c r="CG27" s="8">
        <f t="shared" ref="CG27" si="272">IFERROR(IF(CF27+1&lt;=100,CF27+1,""),"")</f>
        <v>82</v>
      </c>
      <c r="CH27" s="8">
        <f t="shared" ref="CH27" si="273">IFERROR(IF(CG27+1&lt;=100,CG27+1,""),"")</f>
        <v>83</v>
      </c>
      <c r="CI27" s="8">
        <f t="shared" ref="CI27" si="274">IFERROR(IF(CH27+1&lt;=100,CH27+1,""),"")</f>
        <v>84</v>
      </c>
      <c r="CJ27" s="8">
        <f t="shared" ref="CJ27" si="275">IFERROR(IF(CI27+1&lt;=100,CI27+1,""),"")</f>
        <v>85</v>
      </c>
      <c r="CK27" s="8">
        <f t="shared" ref="CK27" si="276">IFERROR(IF(CJ27+1&lt;=100,CJ27+1,""),"")</f>
        <v>86</v>
      </c>
      <c r="CL27" s="8">
        <f t="shared" ref="CL27" si="277">IFERROR(IF(CK27+1&lt;=100,CK27+1,""),"")</f>
        <v>87</v>
      </c>
      <c r="CM27" s="8">
        <f t="shared" ref="CM27" si="278">IFERROR(IF(CL27+1&lt;=100,CL27+1,""),"")</f>
        <v>88</v>
      </c>
      <c r="CN27" s="8">
        <f t="shared" ref="CN27" si="279">IFERROR(IF(CM27+1&lt;=100,CM27+1,""),"")</f>
        <v>89</v>
      </c>
      <c r="CO27" s="8">
        <f t="shared" ref="CO27" si="280">IFERROR(IF(CN27+1&lt;=100,CN27+1,""),"")</f>
        <v>90</v>
      </c>
      <c r="CP27" s="8">
        <f t="shared" ref="CP27" si="281">IFERROR(IF(CO27+1&lt;=100,CO27+1,""),"")</f>
        <v>91</v>
      </c>
      <c r="CQ27" s="8">
        <f t="shared" ref="CQ27" si="282">IFERROR(IF(CP27+1&lt;=100,CP27+1,""),"")</f>
        <v>92</v>
      </c>
      <c r="CR27" s="8">
        <f t="shared" ref="CR27" si="283">IFERROR(IF(CQ27+1&lt;=100,CQ27+1,""),"")</f>
        <v>93</v>
      </c>
      <c r="CS27" s="8">
        <f t="shared" ref="CS27" si="284">IFERROR(IF(CR27+1&lt;=100,CR27+1,""),"")</f>
        <v>94</v>
      </c>
      <c r="CT27" s="8">
        <f t="shared" ref="CT27" si="285">IFERROR(IF(CS27+1&lt;=100,CS27+1,""),"")</f>
        <v>95</v>
      </c>
      <c r="CU27" s="8">
        <f t="shared" ref="CU27" si="286">IFERROR(IF(CT27+1&lt;=100,CT27+1,""),"")</f>
        <v>96</v>
      </c>
    </row>
    <row r="28" spans="1:101" s="2" customFormat="1" x14ac:dyDescent="0.25">
      <c r="A28" s="2" t="s">
        <v>1</v>
      </c>
      <c r="C28" s="2">
        <v>0</v>
      </c>
      <c r="D28" s="2">
        <f>COUNT($D27:D27)</f>
        <v>1</v>
      </c>
      <c r="E28" s="2">
        <f>COUNT($D27:E27)</f>
        <v>2</v>
      </c>
      <c r="F28" s="2">
        <f>COUNT($D27:F27)</f>
        <v>3</v>
      </c>
      <c r="G28" s="2">
        <f>COUNT($D27:G27)</f>
        <v>4</v>
      </c>
      <c r="H28" s="2">
        <f>COUNT($D27:H27)</f>
        <v>5</v>
      </c>
      <c r="I28" s="2">
        <f>COUNT($D27:I27)</f>
        <v>6</v>
      </c>
      <c r="J28" s="2">
        <f>COUNT($D27:J27)</f>
        <v>7</v>
      </c>
      <c r="K28" s="2">
        <f>COUNT($D27:K27)</f>
        <v>8</v>
      </c>
      <c r="L28" s="2">
        <f>COUNT($D27:L27)</f>
        <v>9</v>
      </c>
      <c r="M28" s="2">
        <f>COUNT($D27:M27)</f>
        <v>10</v>
      </c>
      <c r="N28" s="2">
        <f>COUNT($D27:N27)</f>
        <v>11</v>
      </c>
      <c r="O28" s="2">
        <f>COUNT($D27:O27)</f>
        <v>12</v>
      </c>
      <c r="P28" s="2">
        <f>COUNT($D27:P27)</f>
        <v>13</v>
      </c>
      <c r="Q28" s="2">
        <f>COUNT($D27:Q27)</f>
        <v>14</v>
      </c>
      <c r="R28" s="2">
        <f>COUNT($D27:R27)</f>
        <v>15</v>
      </c>
      <c r="S28" s="2">
        <f>COUNT($D27:S27)</f>
        <v>16</v>
      </c>
      <c r="T28" s="2">
        <f>COUNT($D27:T27)</f>
        <v>17</v>
      </c>
      <c r="U28" s="2">
        <f>COUNT($D27:U27)</f>
        <v>18</v>
      </c>
      <c r="V28" s="2">
        <f>COUNT($D27:V27)</f>
        <v>19</v>
      </c>
      <c r="W28" s="2">
        <f>COUNT($D27:W27)</f>
        <v>20</v>
      </c>
      <c r="X28" s="2">
        <f>COUNT($D27:X27)</f>
        <v>21</v>
      </c>
      <c r="Y28" s="2">
        <f>COUNT($D27:Y27)</f>
        <v>22</v>
      </c>
      <c r="Z28" s="2">
        <f>COUNT($D27:Z27)</f>
        <v>23</v>
      </c>
      <c r="AA28" s="2">
        <f>COUNT($D27:AA27)</f>
        <v>24</v>
      </c>
      <c r="AB28" s="2">
        <f>COUNT($D27:AB27)</f>
        <v>25</v>
      </c>
      <c r="AC28" s="2">
        <f>COUNT($D27:AC27)</f>
        <v>26</v>
      </c>
      <c r="AD28" s="2">
        <f>COUNT($D27:AD27)</f>
        <v>27</v>
      </c>
      <c r="AE28" s="2">
        <f>COUNT($D27:AE27)</f>
        <v>28</v>
      </c>
      <c r="AF28" s="2">
        <f>COUNT($D27:AF27)</f>
        <v>29</v>
      </c>
      <c r="AG28" s="2">
        <f>COUNT($D27:AG27)</f>
        <v>30</v>
      </c>
      <c r="AH28" s="2">
        <f>COUNT($D27:AH27)</f>
        <v>31</v>
      </c>
      <c r="AI28" s="2">
        <f>COUNT($D27:AI27)</f>
        <v>32</v>
      </c>
      <c r="AJ28" s="2">
        <f>COUNT($D27:AJ27)</f>
        <v>33</v>
      </c>
      <c r="AK28" s="2">
        <f>COUNT($D27:AK27)</f>
        <v>34</v>
      </c>
      <c r="AL28" s="2">
        <f>COUNT($D27:AL27)</f>
        <v>35</v>
      </c>
      <c r="AM28" s="2">
        <f>COUNT($D27:AM27)</f>
        <v>36</v>
      </c>
      <c r="AN28" s="2">
        <f>COUNT($D27:AN27)</f>
        <v>37</v>
      </c>
      <c r="AO28" s="2">
        <f>COUNT($D27:AO27)</f>
        <v>38</v>
      </c>
      <c r="AP28" s="2">
        <f>COUNT($D27:AP27)</f>
        <v>39</v>
      </c>
      <c r="AQ28" s="2">
        <f>COUNT($D27:AQ27)</f>
        <v>40</v>
      </c>
      <c r="AR28" s="2">
        <f>COUNT($D27:AR27)</f>
        <v>41</v>
      </c>
      <c r="AS28" s="2">
        <f>COUNT($D27:AS27)</f>
        <v>42</v>
      </c>
      <c r="AT28" s="2">
        <f>COUNT($D27:AT27)</f>
        <v>43</v>
      </c>
      <c r="AU28" s="2">
        <f>COUNT($D27:AU27)</f>
        <v>44</v>
      </c>
      <c r="AV28" s="2">
        <f>COUNT($D27:AV27)</f>
        <v>45</v>
      </c>
      <c r="AW28" s="2">
        <f>COUNT($D27:AW27)</f>
        <v>46</v>
      </c>
      <c r="AX28" s="2">
        <f>COUNT($D27:AX27)</f>
        <v>47</v>
      </c>
      <c r="AY28" s="2">
        <f>COUNT($D27:AY27)</f>
        <v>48</v>
      </c>
      <c r="AZ28" s="2">
        <f>COUNT($D27:AZ27)</f>
        <v>49</v>
      </c>
      <c r="BA28" s="35">
        <f>COUNT($D27:BA27)</f>
        <v>50</v>
      </c>
      <c r="BB28" s="2">
        <f>COUNT($D27:BB27)</f>
        <v>51</v>
      </c>
      <c r="BC28" s="2">
        <f>COUNT($D27:BC27)</f>
        <v>52</v>
      </c>
      <c r="BD28" s="2">
        <f>COUNT($D27:BD27)</f>
        <v>53</v>
      </c>
      <c r="BE28" s="2">
        <f>COUNT($D27:BE27)</f>
        <v>54</v>
      </c>
      <c r="BF28" s="2">
        <f>COUNT($D27:BF27)</f>
        <v>55</v>
      </c>
      <c r="BG28" s="2">
        <f>COUNT($D27:BG27)</f>
        <v>56</v>
      </c>
      <c r="BH28" s="2">
        <f>COUNT($D27:BH27)</f>
        <v>57</v>
      </c>
      <c r="BI28" s="2">
        <f>COUNT($D27:BI27)</f>
        <v>58</v>
      </c>
      <c r="BJ28" s="2">
        <f>COUNT($D27:BJ27)</f>
        <v>59</v>
      </c>
      <c r="BK28" s="2">
        <f>COUNT($D27:BK27)</f>
        <v>60</v>
      </c>
      <c r="BL28" s="2">
        <f>COUNT($D27:BL27)</f>
        <v>61</v>
      </c>
      <c r="BM28" s="2">
        <f>COUNT($D27:BM27)</f>
        <v>62</v>
      </c>
      <c r="BN28" s="2">
        <f>COUNT($D27:BN27)</f>
        <v>63</v>
      </c>
      <c r="BO28" s="2">
        <f>COUNT($D27:BO27)</f>
        <v>64</v>
      </c>
      <c r="BP28" s="2">
        <f>COUNT($D27:BP27)</f>
        <v>65</v>
      </c>
      <c r="BQ28" s="2">
        <f>COUNT($D27:BQ27)</f>
        <v>66</v>
      </c>
      <c r="BR28" s="2">
        <f>COUNT($D27:BR27)</f>
        <v>67</v>
      </c>
      <c r="BS28" s="2">
        <f>COUNT($D27:BS27)</f>
        <v>68</v>
      </c>
      <c r="BT28" s="2">
        <f>COUNT($D27:BT27)</f>
        <v>69</v>
      </c>
      <c r="BU28" s="2">
        <f>COUNT($D27:BU27)</f>
        <v>70</v>
      </c>
      <c r="BV28" s="2">
        <f>COUNT($D27:BV27)</f>
        <v>71</v>
      </c>
      <c r="BW28" s="2">
        <f>COUNT($D27:BW27)</f>
        <v>72</v>
      </c>
      <c r="BX28" s="2">
        <f>COUNT($D27:BX27)</f>
        <v>73</v>
      </c>
      <c r="BY28" s="2">
        <f>COUNT($D27:BY27)</f>
        <v>74</v>
      </c>
      <c r="BZ28" s="2">
        <f>COUNT($D27:BZ27)</f>
        <v>75</v>
      </c>
      <c r="CA28" s="2">
        <f>COUNT($D27:CA27)</f>
        <v>76</v>
      </c>
      <c r="CB28" s="2">
        <f>COUNT($D27:CB27)</f>
        <v>77</v>
      </c>
      <c r="CC28" s="2">
        <f>COUNT($D27:CC27)</f>
        <v>78</v>
      </c>
      <c r="CD28" s="2">
        <f>COUNT($D27:CD27)</f>
        <v>79</v>
      </c>
      <c r="CE28" s="2">
        <f>COUNT($D27:CE27)</f>
        <v>80</v>
      </c>
      <c r="CF28" s="2">
        <f>COUNT($D27:CF27)</f>
        <v>81</v>
      </c>
      <c r="CG28" s="2">
        <f>COUNT($D27:CG27)</f>
        <v>82</v>
      </c>
      <c r="CH28" s="2">
        <f>COUNT($D27:CH27)</f>
        <v>83</v>
      </c>
      <c r="CI28" s="2">
        <f>COUNT($D27:CI27)</f>
        <v>84</v>
      </c>
      <c r="CJ28" s="2">
        <f>COUNT($D27:CJ27)</f>
        <v>85</v>
      </c>
      <c r="CK28" s="2">
        <f>COUNT($D27:CK27)</f>
        <v>86</v>
      </c>
      <c r="CL28" s="2">
        <f>COUNT($D27:CL27)</f>
        <v>87</v>
      </c>
      <c r="CM28" s="2">
        <f>COUNT($D27:CM27)</f>
        <v>88</v>
      </c>
      <c r="CN28" s="2">
        <f>COUNT($D27:CN27)</f>
        <v>89</v>
      </c>
      <c r="CO28" s="2">
        <f>COUNT($D27:CO27)</f>
        <v>90</v>
      </c>
      <c r="CP28" s="2">
        <f>COUNT($D27:CP27)</f>
        <v>91</v>
      </c>
      <c r="CQ28" s="2">
        <f>COUNT($D27:CQ27)</f>
        <v>92</v>
      </c>
      <c r="CR28" s="2">
        <f>COUNT($D27:CR27)</f>
        <v>93</v>
      </c>
    </row>
    <row r="29" spans="1:101" x14ac:dyDescent="0.25">
      <c r="B29" s="5">
        <f>IRR(C29:CR29)</f>
        <v>6.500001589613702E-2</v>
      </c>
      <c r="C29" s="6">
        <v>-100000</v>
      </c>
      <c r="D29" s="6">
        <v>-100000</v>
      </c>
      <c r="E29" s="6">
        <v>-100000</v>
      </c>
      <c r="F29" s="6">
        <v>-100000</v>
      </c>
      <c r="G29" s="6">
        <v>-100000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33">
        <v>10315074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V29" s="6"/>
      <c r="CW29" s="6"/>
    </row>
    <row r="30" spans="1:101" x14ac:dyDescent="0.25">
      <c r="B30" s="5"/>
      <c r="C30" s="6"/>
      <c r="D30" s="6"/>
      <c r="E30" s="6"/>
      <c r="F30" s="6"/>
      <c r="G30" s="9">
        <f>SUM(C29:G29)</f>
        <v>-500000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V30" s="6"/>
      <c r="W30" s="6"/>
      <c r="X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33">
        <f>BA29*6.8</f>
        <v>70142503.200000003</v>
      </c>
      <c r="BB30" s="6"/>
      <c r="BC30" s="6"/>
      <c r="BD30" s="6"/>
      <c r="BE30" s="6"/>
      <c r="BF30" s="6"/>
      <c r="BG30" s="6"/>
      <c r="BH30" s="6"/>
      <c r="BI30" s="6"/>
      <c r="BJ30" s="6"/>
      <c r="CD30" s="10"/>
    </row>
    <row r="33" spans="1:103" x14ac:dyDescent="0.25">
      <c r="A33" s="1" t="s">
        <v>27</v>
      </c>
      <c r="B33" s="1" t="s">
        <v>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103" s="8" customFormat="1" x14ac:dyDescent="0.25">
      <c r="A34" s="8" t="s">
        <v>3</v>
      </c>
      <c r="C34" s="8">
        <v>0</v>
      </c>
      <c r="D34" s="8">
        <f>IFERROR(IF(C34+1&lt;=100,C34+1,""),"")</f>
        <v>1</v>
      </c>
      <c r="E34" s="8">
        <f t="shared" ref="E34" si="287">IFERROR(IF(D34+1&lt;=100,D34+1,""),"")</f>
        <v>2</v>
      </c>
      <c r="F34" s="8">
        <f t="shared" ref="F34" si="288">IFERROR(IF(E34+1&lt;=100,E34+1,""),"")</f>
        <v>3</v>
      </c>
      <c r="G34" s="8">
        <f t="shared" ref="G34" si="289">IFERROR(IF(F34+1&lt;=100,F34+1,""),"")</f>
        <v>4</v>
      </c>
      <c r="H34" s="8">
        <f t="shared" ref="H34" si="290">IFERROR(IF(G34+1&lt;=100,G34+1,""),"")</f>
        <v>5</v>
      </c>
      <c r="I34" s="8">
        <f t="shared" ref="I34" si="291">IFERROR(IF(H34+1&lt;=100,H34+1,""),"")</f>
        <v>6</v>
      </c>
      <c r="J34" s="8">
        <f t="shared" ref="J34" si="292">IFERROR(IF(I34+1&lt;=100,I34+1,""),"")</f>
        <v>7</v>
      </c>
      <c r="K34" s="8">
        <f t="shared" ref="K34" si="293">IFERROR(IF(J34+1&lt;=100,J34+1,""),"")</f>
        <v>8</v>
      </c>
      <c r="L34" s="8">
        <f t="shared" ref="L34" si="294">IFERROR(IF(K34+1&lt;=100,K34+1,""),"")</f>
        <v>9</v>
      </c>
      <c r="M34" s="8">
        <f t="shared" ref="M34" si="295">IFERROR(IF(L34+1&lt;=100,L34+1,""),"")</f>
        <v>10</v>
      </c>
      <c r="N34" s="8">
        <f t="shared" ref="N34" si="296">IFERROR(IF(M34+1&lt;=100,M34+1,""),"")</f>
        <v>11</v>
      </c>
      <c r="O34" s="8">
        <f t="shared" ref="O34" si="297">IFERROR(IF(N34+1&lt;=100,N34+1,""),"")</f>
        <v>12</v>
      </c>
      <c r="P34" s="8">
        <f t="shared" ref="P34" si="298">IFERROR(IF(O34+1&lt;=100,O34+1,""),"")</f>
        <v>13</v>
      </c>
      <c r="Q34" s="8">
        <f t="shared" ref="Q34" si="299">IFERROR(IF(P34+1&lt;=100,P34+1,""),"")</f>
        <v>14</v>
      </c>
      <c r="R34" s="8">
        <f t="shared" ref="R34" si="300">IFERROR(IF(Q34+1&lt;=100,Q34+1,""),"")</f>
        <v>15</v>
      </c>
      <c r="S34" s="8">
        <f t="shared" ref="S34" si="301">IFERROR(IF(R34+1&lt;=100,R34+1,""),"")</f>
        <v>16</v>
      </c>
      <c r="T34" s="8">
        <f t="shared" ref="T34" si="302">IFERROR(IF(S34+1&lt;=100,S34+1,""),"")</f>
        <v>17</v>
      </c>
      <c r="U34" s="8">
        <f t="shared" ref="U34" si="303">IFERROR(IF(T34+1&lt;=100,T34+1,""),"")</f>
        <v>18</v>
      </c>
      <c r="V34" s="8">
        <f t="shared" ref="V34" si="304">IFERROR(IF(U34+1&lt;=100,U34+1,""),"")</f>
        <v>19</v>
      </c>
      <c r="W34" s="8">
        <f t="shared" ref="W34" si="305">IFERROR(IF(V34+1&lt;=100,V34+1,""),"")</f>
        <v>20</v>
      </c>
      <c r="X34" s="8">
        <f t="shared" ref="X34" si="306">IFERROR(IF(W34+1&lt;=100,W34+1,""),"")</f>
        <v>21</v>
      </c>
      <c r="Y34" s="8">
        <f t="shared" ref="Y34" si="307">IFERROR(IF(X34+1&lt;=100,X34+1,""),"")</f>
        <v>22</v>
      </c>
      <c r="Z34" s="8">
        <f t="shared" ref="Z34" si="308">IFERROR(IF(Y34+1&lt;=100,Y34+1,""),"")</f>
        <v>23</v>
      </c>
      <c r="AA34" s="8">
        <f t="shared" ref="AA34" si="309">IFERROR(IF(Z34+1&lt;=100,Z34+1,""),"")</f>
        <v>24</v>
      </c>
      <c r="AB34" s="8">
        <f t="shared" ref="AB34" si="310">IFERROR(IF(AA34+1&lt;=100,AA34+1,""),"")</f>
        <v>25</v>
      </c>
      <c r="AC34" s="8">
        <f t="shared" ref="AC34" si="311">IFERROR(IF(AB34+1&lt;=100,AB34+1,""),"")</f>
        <v>26</v>
      </c>
      <c r="AD34" s="8">
        <f t="shared" ref="AD34" si="312">IFERROR(IF(AC34+1&lt;=100,AC34+1,""),"")</f>
        <v>27</v>
      </c>
      <c r="AE34" s="8">
        <f t="shared" ref="AE34" si="313">IFERROR(IF(AD34+1&lt;=100,AD34+1,""),"")</f>
        <v>28</v>
      </c>
      <c r="AF34" s="8">
        <f t="shared" ref="AF34" si="314">IFERROR(IF(AE34+1&lt;=100,AE34+1,""),"")</f>
        <v>29</v>
      </c>
      <c r="AG34" s="8">
        <f t="shared" ref="AG34" si="315">IFERROR(IF(AF34+1&lt;=100,AF34+1,""),"")</f>
        <v>30</v>
      </c>
      <c r="AH34" s="8">
        <f t="shared" ref="AH34" si="316">IFERROR(IF(AG34+1&lt;=100,AG34+1,""),"")</f>
        <v>31</v>
      </c>
      <c r="AI34" s="8">
        <f t="shared" ref="AI34" si="317">IFERROR(IF(AH34+1&lt;=100,AH34+1,""),"")</f>
        <v>32</v>
      </c>
      <c r="AJ34" s="8">
        <f t="shared" ref="AJ34" si="318">IFERROR(IF(AI34+1&lt;=100,AI34+1,""),"")</f>
        <v>33</v>
      </c>
      <c r="AK34" s="8">
        <f t="shared" ref="AK34" si="319">IFERROR(IF(AJ34+1&lt;=100,AJ34+1,""),"")</f>
        <v>34</v>
      </c>
      <c r="AL34" s="8">
        <f t="shared" ref="AL34" si="320">IFERROR(IF(AK34+1&lt;=100,AK34+1,""),"")</f>
        <v>35</v>
      </c>
      <c r="AM34" s="8">
        <f t="shared" ref="AM34" si="321">IFERROR(IF(AL34+1&lt;=100,AL34+1,""),"")</f>
        <v>36</v>
      </c>
      <c r="AN34" s="8">
        <f t="shared" ref="AN34" si="322">IFERROR(IF(AM34+1&lt;=100,AM34+1,""),"")</f>
        <v>37</v>
      </c>
      <c r="AO34" s="8">
        <f t="shared" ref="AO34" si="323">IFERROR(IF(AN34+1&lt;=100,AN34+1,""),"")</f>
        <v>38</v>
      </c>
      <c r="AP34" s="8">
        <f t="shared" ref="AP34" si="324">IFERROR(IF(AO34+1&lt;=100,AO34+1,""),"")</f>
        <v>39</v>
      </c>
      <c r="AQ34" s="8">
        <f t="shared" ref="AQ34" si="325">IFERROR(IF(AP34+1&lt;=100,AP34+1,""),"")</f>
        <v>40</v>
      </c>
      <c r="AR34" s="8">
        <f t="shared" ref="AR34" si="326">IFERROR(IF(AQ34+1&lt;=100,AQ34+1,""),"")</f>
        <v>41</v>
      </c>
      <c r="AS34" s="8">
        <f t="shared" ref="AS34" si="327">IFERROR(IF(AR34+1&lt;=100,AR34+1,""),"")</f>
        <v>42</v>
      </c>
      <c r="AT34" s="8">
        <f t="shared" ref="AT34" si="328">IFERROR(IF(AS34+1&lt;=100,AS34+1,""),"")</f>
        <v>43</v>
      </c>
      <c r="AU34" s="8">
        <f t="shared" ref="AU34" si="329">IFERROR(IF(AT34+1&lt;=100,AT34+1,""),"")</f>
        <v>44</v>
      </c>
      <c r="AV34" s="8">
        <f t="shared" ref="AV34" si="330">IFERROR(IF(AU34+1&lt;=100,AU34+1,""),"")</f>
        <v>45</v>
      </c>
      <c r="AW34" s="8">
        <f t="shared" ref="AW34" si="331">IFERROR(IF(AV34+1&lt;=100,AV34+1,""),"")</f>
        <v>46</v>
      </c>
      <c r="AX34" s="8">
        <f t="shared" ref="AX34" si="332">IFERROR(IF(AW34+1&lt;=100,AW34+1,""),"")</f>
        <v>47</v>
      </c>
      <c r="AY34" s="8">
        <f t="shared" ref="AY34" si="333">IFERROR(IF(AX34+1&lt;=100,AX34+1,""),"")</f>
        <v>48</v>
      </c>
      <c r="AZ34" s="8">
        <f t="shared" ref="AZ34" si="334">IFERROR(IF(AY34+1&lt;=100,AY34+1,""),"")</f>
        <v>49</v>
      </c>
      <c r="BA34" s="8">
        <f t="shared" ref="BA34" si="335">IFERROR(IF(AZ34+1&lt;=100,AZ34+1,""),"")</f>
        <v>50</v>
      </c>
      <c r="BB34" s="8">
        <f t="shared" ref="BB34" si="336">IFERROR(IF(BA34+1&lt;=100,BA34+1,""),"")</f>
        <v>51</v>
      </c>
      <c r="BC34" s="8">
        <f t="shared" ref="BC34" si="337">IFERROR(IF(BB34+1&lt;=100,BB34+1,""),"")</f>
        <v>52</v>
      </c>
      <c r="BD34" s="8">
        <f t="shared" ref="BD34" si="338">IFERROR(IF(BC34+1&lt;=100,BC34+1,""),"")</f>
        <v>53</v>
      </c>
      <c r="BE34" s="8">
        <f t="shared" ref="BE34" si="339">IFERROR(IF(BD34+1&lt;=100,BD34+1,""),"")</f>
        <v>54</v>
      </c>
      <c r="BF34" s="8">
        <f t="shared" ref="BF34" si="340">IFERROR(IF(BE34+1&lt;=100,BE34+1,""),"")</f>
        <v>55</v>
      </c>
      <c r="BG34" s="8">
        <f t="shared" ref="BG34" si="341">IFERROR(IF(BF34+1&lt;=100,BF34+1,""),"")</f>
        <v>56</v>
      </c>
      <c r="BH34" s="8">
        <f t="shared" ref="BH34" si="342">IFERROR(IF(BG34+1&lt;=100,BG34+1,""),"")</f>
        <v>57</v>
      </c>
      <c r="BI34" s="8">
        <f t="shared" ref="BI34" si="343">IFERROR(IF(BH34+1&lt;=100,BH34+1,""),"")</f>
        <v>58</v>
      </c>
      <c r="BJ34" s="8">
        <f t="shared" ref="BJ34" si="344">IFERROR(IF(BI34+1&lt;=100,BI34+1,""),"")</f>
        <v>59</v>
      </c>
      <c r="BK34" s="8">
        <f t="shared" ref="BK34" si="345">IFERROR(IF(BJ34+1&lt;=100,BJ34+1,""),"")</f>
        <v>60</v>
      </c>
      <c r="BL34" s="8">
        <f t="shared" ref="BL34" si="346">IFERROR(IF(BK34+1&lt;=100,BK34+1,""),"")</f>
        <v>61</v>
      </c>
      <c r="BM34" s="8">
        <f t="shared" ref="BM34" si="347">IFERROR(IF(BL34+1&lt;=100,BL34+1,""),"")</f>
        <v>62</v>
      </c>
      <c r="BN34" s="8">
        <f t="shared" ref="BN34" si="348">IFERROR(IF(BM34+1&lt;=100,BM34+1,""),"")</f>
        <v>63</v>
      </c>
      <c r="BO34" s="8">
        <f t="shared" ref="BO34" si="349">IFERROR(IF(BN34+1&lt;=100,BN34+1,""),"")</f>
        <v>64</v>
      </c>
      <c r="BP34" s="8">
        <f t="shared" ref="BP34" si="350">IFERROR(IF(BO34+1&lt;=100,BO34+1,""),"")</f>
        <v>65</v>
      </c>
      <c r="BQ34" s="8">
        <f t="shared" ref="BQ34" si="351">IFERROR(IF(BP34+1&lt;=100,BP34+1,""),"")</f>
        <v>66</v>
      </c>
      <c r="BR34" s="8">
        <f t="shared" ref="BR34" si="352">IFERROR(IF(BQ34+1&lt;=100,BQ34+1,""),"")</f>
        <v>67</v>
      </c>
      <c r="BS34" s="8">
        <f t="shared" ref="BS34" si="353">IFERROR(IF(BR34+1&lt;=100,BR34+1,""),"")</f>
        <v>68</v>
      </c>
      <c r="BT34" s="8">
        <f t="shared" ref="BT34" si="354">IFERROR(IF(BS34+1&lt;=100,BS34+1,""),"")</f>
        <v>69</v>
      </c>
      <c r="BU34" s="8">
        <f t="shared" ref="BU34" si="355">IFERROR(IF(BT34+1&lt;=100,BT34+1,""),"")</f>
        <v>70</v>
      </c>
      <c r="BV34" s="8">
        <f t="shared" ref="BV34" si="356">IFERROR(IF(BU34+1&lt;=100,BU34+1,""),"")</f>
        <v>71</v>
      </c>
      <c r="BW34" s="8">
        <f t="shared" ref="BW34" si="357">IFERROR(IF(BV34+1&lt;=100,BV34+1,""),"")</f>
        <v>72</v>
      </c>
      <c r="BX34" s="8">
        <f t="shared" ref="BX34" si="358">IFERROR(IF(BW34+1&lt;=100,BW34+1,""),"")</f>
        <v>73</v>
      </c>
      <c r="BY34" s="8">
        <f t="shared" ref="BY34" si="359">IFERROR(IF(BX34+1&lt;=100,BX34+1,""),"")</f>
        <v>74</v>
      </c>
      <c r="BZ34" s="8">
        <f t="shared" ref="BZ34" si="360">IFERROR(IF(BY34+1&lt;=100,BY34+1,""),"")</f>
        <v>75</v>
      </c>
      <c r="CA34" s="8">
        <f t="shared" ref="CA34" si="361">IFERROR(IF(BZ34+1&lt;=100,BZ34+1,""),"")</f>
        <v>76</v>
      </c>
      <c r="CB34" s="8">
        <f t="shared" ref="CB34" si="362">IFERROR(IF(CA34+1&lt;=100,CA34+1,""),"")</f>
        <v>77</v>
      </c>
      <c r="CC34" s="8">
        <f t="shared" ref="CC34" si="363">IFERROR(IF(CB34+1&lt;=100,CB34+1,""),"")</f>
        <v>78</v>
      </c>
      <c r="CD34" s="8">
        <f t="shared" ref="CD34" si="364">IFERROR(IF(CC34+1&lt;=100,CC34+1,""),"")</f>
        <v>79</v>
      </c>
      <c r="CE34" s="8">
        <f t="shared" ref="CE34" si="365">IFERROR(IF(CD34+1&lt;=100,CD34+1,""),"")</f>
        <v>80</v>
      </c>
      <c r="CF34" s="8">
        <f t="shared" ref="CF34" si="366">IFERROR(IF(CE34+1&lt;=100,CE34+1,""),"")</f>
        <v>81</v>
      </c>
      <c r="CG34" s="8">
        <f t="shared" ref="CG34" si="367">IFERROR(IF(CF34+1&lt;=100,CF34+1,""),"")</f>
        <v>82</v>
      </c>
      <c r="CH34" s="8">
        <f t="shared" ref="CH34" si="368">IFERROR(IF(CG34+1&lt;=100,CG34+1,""),"")</f>
        <v>83</v>
      </c>
      <c r="CI34" s="8">
        <f t="shared" ref="CI34" si="369">IFERROR(IF(CH34+1&lt;=100,CH34+1,""),"")</f>
        <v>84</v>
      </c>
      <c r="CJ34" s="8">
        <f t="shared" ref="CJ34" si="370">IFERROR(IF(CI34+1&lt;=100,CI34+1,""),"")</f>
        <v>85</v>
      </c>
      <c r="CK34" s="8">
        <f t="shared" ref="CK34" si="371">IFERROR(IF(CJ34+1&lt;=100,CJ34+1,""),"")</f>
        <v>86</v>
      </c>
      <c r="CL34" s="8">
        <f t="shared" ref="CL34" si="372">IFERROR(IF(CK34+1&lt;=100,CK34+1,""),"")</f>
        <v>87</v>
      </c>
      <c r="CM34" s="8">
        <f t="shared" ref="CM34" si="373">IFERROR(IF(CL34+1&lt;=100,CL34+1,""),"")</f>
        <v>88</v>
      </c>
      <c r="CN34" s="8">
        <f t="shared" ref="CN34" si="374">IFERROR(IF(CM34+1&lt;=100,CM34+1,""),"")</f>
        <v>89</v>
      </c>
      <c r="CO34" s="8">
        <f t="shared" ref="CO34" si="375">IFERROR(IF(CN34+1&lt;=100,CN34+1,""),"")</f>
        <v>90</v>
      </c>
      <c r="CP34" s="8">
        <f t="shared" ref="CP34" si="376">IFERROR(IF(CO34+1&lt;=100,CO34+1,""),"")</f>
        <v>91</v>
      </c>
      <c r="CQ34" s="8">
        <f t="shared" ref="CQ34" si="377">IFERROR(IF(CP34+1&lt;=100,CP34+1,""),"")</f>
        <v>92</v>
      </c>
      <c r="CR34" s="8">
        <f t="shared" ref="CR34" si="378">IFERROR(IF(CQ34+1&lt;=100,CQ34+1,""),"")</f>
        <v>93</v>
      </c>
      <c r="CS34" s="8">
        <f t="shared" ref="CS34" si="379">IFERROR(IF(CR34+1&lt;=100,CR34+1,""),"")</f>
        <v>94</v>
      </c>
      <c r="CT34" s="8">
        <f t="shared" ref="CT34" si="380">IFERROR(IF(CS34+1&lt;=100,CS34+1,""),"")</f>
        <v>95</v>
      </c>
      <c r="CU34" s="8">
        <f t="shared" ref="CU34" si="381">IFERROR(IF(CT34+1&lt;=100,CT34+1,""),"")</f>
        <v>96</v>
      </c>
      <c r="CV34" s="8">
        <f t="shared" ref="CV34" si="382">IFERROR(IF(CU34+1&lt;=100,CU34+1,""),"")</f>
        <v>97</v>
      </c>
      <c r="CW34" s="8">
        <f t="shared" ref="CW34" si="383">IFERROR(IF(CV34+1&lt;=100,CV34+1,""),"")</f>
        <v>98</v>
      </c>
      <c r="CX34" s="8">
        <f t="shared" ref="CX34" si="384">IFERROR(IF(CW34+1&lt;=100,CW34+1,""),"")</f>
        <v>99</v>
      </c>
      <c r="CY34" s="8">
        <f t="shared" ref="CY34" si="385">IFERROR(IF(CX34+1&lt;=100,CX34+1,""),"")</f>
        <v>100</v>
      </c>
    </row>
    <row r="35" spans="1:103" s="2" customFormat="1" x14ac:dyDescent="0.25">
      <c r="A35" s="2" t="s">
        <v>1</v>
      </c>
      <c r="C35" s="2">
        <v>0</v>
      </c>
      <c r="D35" s="2">
        <f>COUNT($D34:D34)</f>
        <v>1</v>
      </c>
      <c r="E35" s="2">
        <f>COUNT($D34:E34)</f>
        <v>2</v>
      </c>
      <c r="F35" s="2">
        <f>COUNT($D34:F34)</f>
        <v>3</v>
      </c>
      <c r="G35" s="2">
        <f>COUNT($D34:G34)</f>
        <v>4</v>
      </c>
      <c r="H35" s="2">
        <f>COUNT($D34:H34)</f>
        <v>5</v>
      </c>
      <c r="I35" s="2">
        <f>COUNT($D34:I34)</f>
        <v>6</v>
      </c>
      <c r="J35" s="2">
        <f>COUNT($D34:J34)</f>
        <v>7</v>
      </c>
      <c r="K35" s="2">
        <f>COUNT($D34:K34)</f>
        <v>8</v>
      </c>
      <c r="L35" s="2">
        <f>COUNT($D34:L34)</f>
        <v>9</v>
      </c>
      <c r="M35" s="2">
        <f>COUNT($D34:M34)</f>
        <v>10</v>
      </c>
      <c r="N35" s="2">
        <f>COUNT($D34:N34)</f>
        <v>11</v>
      </c>
      <c r="O35" s="2">
        <f>COUNT($D34:O34)</f>
        <v>12</v>
      </c>
      <c r="P35" s="2">
        <f>COUNT($D34:P34)</f>
        <v>13</v>
      </c>
      <c r="Q35" s="2">
        <f>COUNT($D34:Q34)</f>
        <v>14</v>
      </c>
      <c r="R35" s="2">
        <f>COUNT($D34:R34)</f>
        <v>15</v>
      </c>
      <c r="S35" s="2">
        <f>COUNT($D34:S34)</f>
        <v>16</v>
      </c>
      <c r="T35" s="2">
        <f>COUNT($D34:T34)</f>
        <v>17</v>
      </c>
      <c r="U35" s="2">
        <f>COUNT($D34:U34)</f>
        <v>18</v>
      </c>
      <c r="V35" s="2">
        <f>COUNT($D34:V34)</f>
        <v>19</v>
      </c>
      <c r="W35" s="2">
        <f>COUNT($D34:W34)</f>
        <v>20</v>
      </c>
      <c r="X35" s="2">
        <f>COUNT($D34:X34)</f>
        <v>21</v>
      </c>
      <c r="Y35" s="2">
        <f>COUNT($D34:Y34)</f>
        <v>22</v>
      </c>
      <c r="Z35" s="2">
        <f>COUNT($D34:Z34)</f>
        <v>23</v>
      </c>
      <c r="AA35" s="2">
        <f>COUNT($D34:AA34)</f>
        <v>24</v>
      </c>
      <c r="AB35" s="2">
        <f>COUNT($D34:AB34)</f>
        <v>25</v>
      </c>
      <c r="AC35" s="2">
        <f>COUNT($D34:AC34)</f>
        <v>26</v>
      </c>
      <c r="AD35" s="2">
        <f>COUNT($D34:AD34)</f>
        <v>27</v>
      </c>
      <c r="AE35" s="2">
        <f>COUNT($D34:AE34)</f>
        <v>28</v>
      </c>
      <c r="AF35" s="2">
        <f>COUNT($D34:AF34)</f>
        <v>29</v>
      </c>
      <c r="AG35" s="2">
        <f>COUNT($D34:AG34)</f>
        <v>30</v>
      </c>
      <c r="AH35" s="2">
        <f>COUNT($D34:AH34)</f>
        <v>31</v>
      </c>
      <c r="AI35" s="2">
        <f>COUNT($D34:AI34)</f>
        <v>32</v>
      </c>
      <c r="AJ35" s="2">
        <f>COUNT($D34:AJ34)</f>
        <v>33</v>
      </c>
      <c r="AK35" s="2">
        <f>COUNT($D34:AK34)</f>
        <v>34</v>
      </c>
      <c r="AL35" s="2">
        <f>COUNT($D34:AL34)</f>
        <v>35</v>
      </c>
      <c r="AM35" s="2">
        <f>COUNT($D34:AM34)</f>
        <v>36</v>
      </c>
      <c r="AN35" s="2">
        <f>COUNT($D34:AN34)</f>
        <v>37</v>
      </c>
      <c r="AO35" s="2">
        <f>COUNT($D34:AO34)</f>
        <v>38</v>
      </c>
      <c r="AP35" s="2">
        <f>COUNT($D34:AP34)</f>
        <v>39</v>
      </c>
      <c r="AQ35" s="2">
        <f>COUNT($D34:AQ34)</f>
        <v>40</v>
      </c>
      <c r="AR35" s="2">
        <f>COUNT($D34:AR34)</f>
        <v>41</v>
      </c>
      <c r="AS35" s="2">
        <f>COUNT($D34:AS34)</f>
        <v>42</v>
      </c>
      <c r="AT35" s="2">
        <f>COUNT($D34:AT34)</f>
        <v>43</v>
      </c>
      <c r="AU35" s="2">
        <f>COUNT($D34:AU34)</f>
        <v>44</v>
      </c>
      <c r="AV35" s="2">
        <f>COUNT($D34:AV34)</f>
        <v>45</v>
      </c>
      <c r="AW35" s="2">
        <f>COUNT($D34:AW34)</f>
        <v>46</v>
      </c>
      <c r="AX35" s="2">
        <f>COUNT($D34:AX34)</f>
        <v>47</v>
      </c>
      <c r="AY35" s="2">
        <f>COUNT($D34:AY34)</f>
        <v>48</v>
      </c>
      <c r="AZ35" s="2">
        <f>COUNT($D34:AZ34)</f>
        <v>49</v>
      </c>
      <c r="BA35" s="2">
        <f>COUNT($D34:BA34)</f>
        <v>50</v>
      </c>
      <c r="BB35" s="2">
        <f>COUNT($D34:BB34)</f>
        <v>51</v>
      </c>
      <c r="BC35" s="2">
        <f>COUNT($D34:BC34)</f>
        <v>52</v>
      </c>
      <c r="BD35" s="2">
        <f>COUNT($D34:BD34)</f>
        <v>53</v>
      </c>
      <c r="BE35" s="2">
        <f>COUNT($D34:BE34)</f>
        <v>54</v>
      </c>
      <c r="BF35" s="2">
        <f>COUNT($D34:BF34)</f>
        <v>55</v>
      </c>
      <c r="BG35" s="2">
        <f>COUNT($D34:BG34)</f>
        <v>56</v>
      </c>
      <c r="BH35" s="2">
        <f>COUNT($D34:BH34)</f>
        <v>57</v>
      </c>
      <c r="BI35" s="2">
        <f>COUNT($D34:BI34)</f>
        <v>58</v>
      </c>
      <c r="BJ35" s="2">
        <f>COUNT($D34:BJ34)</f>
        <v>59</v>
      </c>
      <c r="BK35" s="2">
        <f>COUNT($D34:BK34)</f>
        <v>60</v>
      </c>
      <c r="BL35" s="2">
        <f>COUNT($D34:BL34)</f>
        <v>61</v>
      </c>
      <c r="BM35" s="2">
        <f>COUNT($D34:BM34)</f>
        <v>62</v>
      </c>
      <c r="BN35" s="2">
        <f>COUNT($D34:BN34)</f>
        <v>63</v>
      </c>
      <c r="BO35" s="2">
        <f>COUNT($D34:BO34)</f>
        <v>64</v>
      </c>
      <c r="BP35" s="2">
        <f>COUNT($D34:BP34)</f>
        <v>65</v>
      </c>
      <c r="BQ35" s="2">
        <f>COUNT($D34:BQ34)</f>
        <v>66</v>
      </c>
      <c r="BR35" s="2">
        <f>COUNT($D34:BR34)</f>
        <v>67</v>
      </c>
      <c r="BS35" s="2">
        <f>COUNT($D34:BS34)</f>
        <v>68</v>
      </c>
      <c r="BT35" s="2">
        <f>COUNT($D34:BT34)</f>
        <v>69</v>
      </c>
      <c r="BU35" s="2">
        <f>COUNT($D34:BU34)</f>
        <v>70</v>
      </c>
      <c r="BV35" s="2">
        <f>COUNT($D34:BV34)</f>
        <v>71</v>
      </c>
      <c r="BW35" s="2">
        <f>COUNT($D34:BW34)</f>
        <v>72</v>
      </c>
      <c r="BX35" s="2">
        <f>COUNT($D34:BX34)</f>
        <v>73</v>
      </c>
      <c r="BY35" s="2">
        <f>COUNT($D34:BY34)</f>
        <v>74</v>
      </c>
      <c r="BZ35" s="2">
        <f>COUNT($D34:BZ34)</f>
        <v>75</v>
      </c>
      <c r="CA35" s="2">
        <f>COUNT($D34:CA34)</f>
        <v>76</v>
      </c>
      <c r="CB35" s="2">
        <f>COUNT($D34:CB34)</f>
        <v>77</v>
      </c>
      <c r="CC35" s="2">
        <f>COUNT($D34:CC34)</f>
        <v>78</v>
      </c>
      <c r="CD35" s="2">
        <f>COUNT($D34:CD34)</f>
        <v>79</v>
      </c>
      <c r="CE35" s="2">
        <f>COUNT($D34:CE34)</f>
        <v>80</v>
      </c>
      <c r="CF35" s="2">
        <f>COUNT($D34:CF34)</f>
        <v>81</v>
      </c>
      <c r="CG35" s="2">
        <f>COUNT($D34:CG34)</f>
        <v>82</v>
      </c>
      <c r="CH35" s="2">
        <f>COUNT($D34:CH34)</f>
        <v>83</v>
      </c>
      <c r="CI35" s="2">
        <f>COUNT($D34:CI34)</f>
        <v>84</v>
      </c>
      <c r="CJ35" s="2">
        <f>COUNT($D34:CJ34)</f>
        <v>85</v>
      </c>
      <c r="CK35" s="2">
        <f>COUNT($D34:CK34)</f>
        <v>86</v>
      </c>
      <c r="CL35" s="2">
        <f>COUNT($D34:CL34)</f>
        <v>87</v>
      </c>
      <c r="CM35" s="2">
        <f>COUNT($D34:CM34)</f>
        <v>88</v>
      </c>
      <c r="CN35" s="2">
        <f>COUNT($D34:CN34)</f>
        <v>89</v>
      </c>
      <c r="CO35" s="2">
        <f>COUNT($D34:CO34)</f>
        <v>90</v>
      </c>
      <c r="CP35" s="2">
        <f>COUNT($D34:CP34)</f>
        <v>91</v>
      </c>
      <c r="CQ35" s="2">
        <f>COUNT($D34:CQ34)</f>
        <v>92</v>
      </c>
      <c r="CR35" s="2">
        <f>COUNT($D34:CR34)</f>
        <v>93</v>
      </c>
      <c r="CS35" s="2">
        <f>COUNT($D34:CS34)</f>
        <v>94</v>
      </c>
      <c r="CT35" s="2">
        <f>COUNT($D34:CT34)</f>
        <v>95</v>
      </c>
      <c r="CU35" s="2">
        <f>COUNT($D34:CU34)</f>
        <v>96</v>
      </c>
      <c r="CV35" s="2">
        <f>COUNT($D34:CV34)</f>
        <v>97</v>
      </c>
      <c r="CW35" s="2">
        <f>COUNT($D34:CW34)</f>
        <v>98</v>
      </c>
      <c r="CX35" s="2">
        <f>COUNT($D34:CX34)</f>
        <v>99</v>
      </c>
      <c r="CY35" s="2">
        <v>100</v>
      </c>
    </row>
    <row r="36" spans="1:103" s="11" customFormat="1" x14ac:dyDescent="0.25">
      <c r="B36" s="5" t="e">
        <f>IRR(C36:CY36)</f>
        <v>#NUM!</v>
      </c>
      <c r="C36" s="6">
        <v>-100000</v>
      </c>
      <c r="D36" s="6">
        <v>-100000</v>
      </c>
      <c r="E36" s="6">
        <v>-100000</v>
      </c>
      <c r="F36" s="6">
        <v>-100000</v>
      </c>
      <c r="G36" s="6">
        <v>-100000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</row>
    <row r="37" spans="1:103" x14ac:dyDescent="0.25">
      <c r="B37" s="5"/>
      <c r="C37" s="6"/>
      <c r="D37" s="6"/>
      <c r="E37" s="6"/>
      <c r="F37" s="6"/>
      <c r="G37" s="9">
        <f>SUM(C36:G36)</f>
        <v>-500000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V37" s="6"/>
      <c r="W37" s="6"/>
      <c r="X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CD37" s="10"/>
    </row>
    <row r="42" spans="1:103" x14ac:dyDescent="0.25">
      <c r="B42" s="13"/>
      <c r="C42" s="14" t="s">
        <v>10</v>
      </c>
      <c r="D42" s="30" t="s">
        <v>11</v>
      </c>
      <c r="E42" s="18"/>
    </row>
    <row r="43" spans="1:103" x14ac:dyDescent="0.25">
      <c r="B43" s="47" t="s">
        <v>9</v>
      </c>
      <c r="C43" s="16">
        <v>0</v>
      </c>
      <c r="D43" s="17">
        <f>C43*6.8</f>
        <v>0</v>
      </c>
      <c r="E43" s="19"/>
    </row>
    <row r="44" spans="1:103" x14ac:dyDescent="0.25">
      <c r="B44" s="47" t="s">
        <v>40</v>
      </c>
      <c r="C44" s="17">
        <f>C43*5</f>
        <v>0</v>
      </c>
      <c r="D44" s="17">
        <f>C44*6.8</f>
        <v>0</v>
      </c>
      <c r="E44" s="19"/>
    </row>
    <row r="45" spans="1:103" x14ac:dyDescent="0.25">
      <c r="B45" s="48" t="s">
        <v>41</v>
      </c>
      <c r="C45" s="25">
        <f>C43*3</f>
        <v>0</v>
      </c>
      <c r="D45" s="25">
        <f>C45*6.8</f>
        <v>0</v>
      </c>
      <c r="E45" s="19"/>
    </row>
    <row r="46" spans="1:103" x14ac:dyDescent="0.25">
      <c r="B46" s="49"/>
    </row>
    <row r="47" spans="1:103" x14ac:dyDescent="0.25">
      <c r="B47" s="49"/>
    </row>
    <row r="48" spans="1:103" ht="16.5" x14ac:dyDescent="0.25">
      <c r="B48" s="47"/>
      <c r="C48" s="14" t="s">
        <v>10</v>
      </c>
      <c r="D48" s="30" t="s">
        <v>11</v>
      </c>
      <c r="E48" s="15" t="s">
        <v>31</v>
      </c>
      <c r="F48" s="14" t="s">
        <v>10</v>
      </c>
      <c r="G48" s="30" t="s">
        <v>11</v>
      </c>
    </row>
    <row r="49" spans="2:7" x14ac:dyDescent="0.25">
      <c r="B49" s="47" t="s">
        <v>18</v>
      </c>
      <c r="C49" s="16">
        <v>0</v>
      </c>
      <c r="D49" s="17">
        <f>C49*6.8</f>
        <v>0</v>
      </c>
      <c r="E49" s="16">
        <v>0</v>
      </c>
      <c r="F49" s="17">
        <f>C49*E49</f>
        <v>0</v>
      </c>
      <c r="G49" s="17">
        <f>F49*6.8</f>
        <v>0</v>
      </c>
    </row>
    <row r="50" spans="2:7" x14ac:dyDescent="0.25">
      <c r="B50" s="47" t="s">
        <v>18</v>
      </c>
      <c r="C50" s="16"/>
      <c r="D50" s="17">
        <f t="shared" ref="D50:D53" si="386">C50*6.8</f>
        <v>0</v>
      </c>
      <c r="E50" s="21">
        <v>0</v>
      </c>
      <c r="F50" s="17">
        <f>C50*E50</f>
        <v>0</v>
      </c>
      <c r="G50" s="17">
        <f t="shared" ref="G50:G51" si="387">F50*6.8</f>
        <v>0</v>
      </c>
    </row>
    <row r="51" spans="2:7" x14ac:dyDescent="0.25">
      <c r="B51" s="47" t="s">
        <v>18</v>
      </c>
      <c r="C51" s="16"/>
      <c r="D51" s="17">
        <f t="shared" si="386"/>
        <v>0</v>
      </c>
      <c r="E51" s="21">
        <v>0</v>
      </c>
      <c r="F51" s="17">
        <f>C51*E51</f>
        <v>0</v>
      </c>
      <c r="G51" s="17">
        <f t="shared" si="387"/>
        <v>0</v>
      </c>
    </row>
    <row r="52" spans="2:7" x14ac:dyDescent="0.25">
      <c r="B52" s="47" t="s">
        <v>23</v>
      </c>
      <c r="C52" s="16"/>
      <c r="D52" s="17">
        <f t="shared" si="386"/>
        <v>0</v>
      </c>
      <c r="E52" s="28"/>
      <c r="F52" s="28"/>
      <c r="G52" s="28"/>
    </row>
    <row r="53" spans="2:7" x14ac:dyDescent="0.25">
      <c r="B53" s="47" t="s">
        <v>19</v>
      </c>
      <c r="C53" s="17">
        <f>F49+F50+C52+F51</f>
        <v>0</v>
      </c>
      <c r="D53" s="17">
        <f t="shared" si="386"/>
        <v>0</v>
      </c>
    </row>
    <row r="54" spans="2:7" x14ac:dyDescent="0.25">
      <c r="B54" s="47" t="s">
        <v>20</v>
      </c>
      <c r="C54" s="31" t="e">
        <f>C53/C44</f>
        <v>#DIV/0!</v>
      </c>
    </row>
    <row r="55" spans="2:7" x14ac:dyDescent="0.25">
      <c r="B55" s="49"/>
    </row>
    <row r="56" spans="2:7" x14ac:dyDescent="0.25">
      <c r="B56" s="49"/>
    </row>
    <row r="57" spans="2:7" ht="16.5" x14ac:dyDescent="0.25">
      <c r="B57" s="47"/>
      <c r="C57" s="14" t="s">
        <v>10</v>
      </c>
      <c r="D57" s="30" t="s">
        <v>11</v>
      </c>
      <c r="E57" s="43" t="s">
        <v>32</v>
      </c>
      <c r="F57" s="24" t="s">
        <v>33</v>
      </c>
    </row>
    <row r="58" spans="2:7" x14ac:dyDescent="0.25">
      <c r="B58" s="47" t="s">
        <v>9</v>
      </c>
      <c r="C58" s="22">
        <f>C43</f>
        <v>0</v>
      </c>
      <c r="D58" s="17">
        <f>C58*6.8</f>
        <v>0</v>
      </c>
      <c r="E58" s="41">
        <v>0.16</v>
      </c>
      <c r="F58" s="24"/>
    </row>
    <row r="59" spans="2:7" x14ac:dyDescent="0.25">
      <c r="B59" s="47" t="s">
        <v>17</v>
      </c>
      <c r="C59" s="23">
        <f>C58*E58</f>
        <v>0</v>
      </c>
      <c r="D59" s="17">
        <f t="shared" ref="D59:D61" si="388">C59*6.8</f>
        <v>0</v>
      </c>
      <c r="E59" s="41"/>
      <c r="F59" s="26">
        <f>C58-C59</f>
        <v>0</v>
      </c>
    </row>
    <row r="60" spans="2:7" x14ac:dyDescent="0.25">
      <c r="B60" s="47" t="s">
        <v>21</v>
      </c>
      <c r="C60" s="16">
        <v>2815</v>
      </c>
      <c r="D60" s="17">
        <f t="shared" si="388"/>
        <v>19142</v>
      </c>
      <c r="E60" s="27" t="s">
        <v>16</v>
      </c>
      <c r="F60" s="26">
        <f>C58-C60</f>
        <v>-2815</v>
      </c>
    </row>
    <row r="61" spans="2:7" x14ac:dyDescent="0.25">
      <c r="B61" s="50" t="s">
        <v>22</v>
      </c>
      <c r="C61" s="29">
        <f>C59+C60</f>
        <v>2815</v>
      </c>
      <c r="D61" s="32">
        <f t="shared" si="388"/>
        <v>19142</v>
      </c>
    </row>
    <row r="62" spans="2:7" x14ac:dyDescent="0.25">
      <c r="B62" s="49"/>
    </row>
    <row r="63" spans="2:7" x14ac:dyDescent="0.25">
      <c r="B63" s="49"/>
    </row>
    <row r="64" spans="2:7" ht="16.5" x14ac:dyDescent="0.25">
      <c r="B64" s="49"/>
      <c r="C64" s="14" t="s">
        <v>10</v>
      </c>
      <c r="D64" s="30" t="s">
        <v>11</v>
      </c>
      <c r="E64" s="44" t="s">
        <v>34</v>
      </c>
    </row>
    <row r="65" spans="2:9" x14ac:dyDescent="0.25">
      <c r="B65" s="47" t="s">
        <v>9</v>
      </c>
      <c r="C65" s="16">
        <f>C43</f>
        <v>0</v>
      </c>
      <c r="D65" s="17">
        <f>C65*6.8</f>
        <v>0</v>
      </c>
      <c r="E65" s="42">
        <v>4.2999999999999997E-2</v>
      </c>
      <c r="F65" s="24" t="e">
        <f>100-(C65-C66)/C65*100</f>
        <v>#DIV/0!</v>
      </c>
    </row>
    <row r="66" spans="2:9" x14ac:dyDescent="0.25">
      <c r="B66" s="47" t="s">
        <v>12</v>
      </c>
      <c r="C66" s="17">
        <f>C65*E65</f>
        <v>0</v>
      </c>
      <c r="D66" s="17">
        <f>C66*6.8</f>
        <v>0</v>
      </c>
      <c r="E66" s="42"/>
    </row>
    <row r="67" spans="2:9" x14ac:dyDescent="0.25">
      <c r="B67" s="49"/>
    </row>
    <row r="68" spans="2:9" x14ac:dyDescent="0.25">
      <c r="B68" s="49"/>
      <c r="H68" s="14" t="s">
        <v>10</v>
      </c>
      <c r="I68" s="30" t="s">
        <v>11</v>
      </c>
    </row>
    <row r="69" spans="2:9" ht="16.5" x14ac:dyDescent="0.25">
      <c r="B69" s="47"/>
      <c r="C69" s="14" t="s">
        <v>10</v>
      </c>
      <c r="D69" s="44" t="s">
        <v>35</v>
      </c>
      <c r="E69" s="15" t="s">
        <v>36</v>
      </c>
      <c r="G69" s="45" t="s">
        <v>37</v>
      </c>
      <c r="H69" s="26">
        <f>C61+C66</f>
        <v>2815</v>
      </c>
      <c r="I69" s="26">
        <f>H69*6.8</f>
        <v>19142</v>
      </c>
    </row>
    <row r="70" spans="2:9" ht="16.5" x14ac:dyDescent="0.25">
      <c r="B70" s="47" t="s">
        <v>9</v>
      </c>
      <c r="C70" s="16">
        <f>C43</f>
        <v>0</v>
      </c>
      <c r="D70" s="38">
        <v>3.7999999999999999E-2</v>
      </c>
      <c r="E70" s="20" t="s">
        <v>16</v>
      </c>
      <c r="G70" s="45" t="s">
        <v>38</v>
      </c>
      <c r="H70" s="26">
        <f>C61+E75</f>
        <v>2815</v>
      </c>
      <c r="I70" s="26">
        <f>H70*6.8</f>
        <v>19142</v>
      </c>
    </row>
    <row r="71" spans="2:9" x14ac:dyDescent="0.25">
      <c r="B71" s="47" t="s">
        <v>12</v>
      </c>
      <c r="C71" s="17">
        <f>C70*4</f>
        <v>0</v>
      </c>
      <c r="D71" s="39"/>
      <c r="E71" s="17">
        <f>C71*D70</f>
        <v>0</v>
      </c>
    </row>
    <row r="72" spans="2:9" x14ac:dyDescent="0.25">
      <c r="B72" s="47" t="s">
        <v>13</v>
      </c>
      <c r="C72" s="17">
        <f>(C70*3)+E71</f>
        <v>0</v>
      </c>
      <c r="D72" s="39"/>
      <c r="E72" s="17">
        <f>C72*D70</f>
        <v>0</v>
      </c>
    </row>
    <row r="73" spans="2:9" x14ac:dyDescent="0.25">
      <c r="B73" s="47" t="s">
        <v>14</v>
      </c>
      <c r="C73" s="17">
        <f>(C70*2)+E72+E71</f>
        <v>0</v>
      </c>
      <c r="D73" s="39"/>
      <c r="E73" s="17">
        <f>C73*D70</f>
        <v>0</v>
      </c>
    </row>
    <row r="74" spans="2:9" x14ac:dyDescent="0.25">
      <c r="B74" s="47" t="s">
        <v>15</v>
      </c>
      <c r="C74" s="17">
        <f>C70+E73+E72+E71</f>
        <v>0</v>
      </c>
      <c r="D74" s="40"/>
      <c r="E74" s="17">
        <f>C74*D70</f>
        <v>0</v>
      </c>
    </row>
    <row r="75" spans="2:9" ht="16.5" x14ac:dyDescent="0.25">
      <c r="B75" s="46" t="s">
        <v>39</v>
      </c>
      <c r="C75" s="46"/>
      <c r="D75" s="46"/>
      <c r="E75" s="12">
        <f>SUM(E71:E74)</f>
        <v>0</v>
      </c>
      <c r="F75" s="12">
        <f>E75*6.8</f>
        <v>0</v>
      </c>
    </row>
    <row r="76" spans="2:9" x14ac:dyDescent="0.25">
      <c r="E76" s="36" t="e">
        <f>100-(C70-E75)/C70*100</f>
        <v>#DIV/0!</v>
      </c>
    </row>
    <row r="82" spans="2:3" x14ac:dyDescent="0.25">
      <c r="B82" s="11" t="s">
        <v>26</v>
      </c>
      <c r="C82" s="34" t="s">
        <v>25</v>
      </c>
    </row>
  </sheetData>
  <mergeCells count="4">
    <mergeCell ref="D70:D74"/>
    <mergeCell ref="B75:D75"/>
    <mergeCell ref="E58:E59"/>
    <mergeCell ref="E65:E66"/>
  </mergeCells>
  <phoneticPr fontId="2" type="noConversion"/>
  <hyperlinks>
    <hyperlink ref="C82" r:id="rId1" xr:uid="{1E553244-4D65-400F-A88B-230AD27882B2}"/>
  </hyperlink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12AF-D4E8-4435-880F-4892DAD74CBD}">
  <dimension ref="A1:C102"/>
  <sheetViews>
    <sheetView tabSelected="1" workbookViewId="0">
      <selection activeCell="B1" sqref="B1"/>
    </sheetView>
  </sheetViews>
  <sheetFormatPr defaultRowHeight="16.5" x14ac:dyDescent="0.25"/>
  <cols>
    <col min="1" max="3" width="9" style="37"/>
    <col min="6" max="6" width="9.5" bestFit="1" customWidth="1"/>
  </cols>
  <sheetData>
    <row r="1" spans="1:3" x14ac:dyDescent="0.25">
      <c r="A1" s="37" t="s">
        <v>28</v>
      </c>
      <c r="B1" s="37" t="s">
        <v>29</v>
      </c>
      <c r="C1" s="37" t="s">
        <v>30</v>
      </c>
    </row>
    <row r="2" spans="1:3" x14ac:dyDescent="0.25">
      <c r="B2" s="37">
        <v>1</v>
      </c>
      <c r="C2" s="37">
        <v>32</v>
      </c>
    </row>
    <row r="3" spans="1:3" x14ac:dyDescent="0.25">
      <c r="A3" s="37">
        <v>1</v>
      </c>
      <c r="B3" s="37">
        <f>B2+1</f>
        <v>2</v>
      </c>
      <c r="C3" s="37">
        <f>C2+1</f>
        <v>33</v>
      </c>
    </row>
    <row r="4" spans="1:3" x14ac:dyDescent="0.25">
      <c r="A4" s="37">
        <v>2</v>
      </c>
      <c r="B4" s="37">
        <f t="shared" ref="B4:B67" si="0">B3+1</f>
        <v>3</v>
      </c>
      <c r="C4" s="37">
        <f t="shared" ref="C4:C68" si="1">C3+1</f>
        <v>34</v>
      </c>
    </row>
    <row r="5" spans="1:3" x14ac:dyDescent="0.25">
      <c r="A5" s="37">
        <v>3</v>
      </c>
      <c r="B5" s="37">
        <f t="shared" si="0"/>
        <v>4</v>
      </c>
      <c r="C5" s="37">
        <f t="shared" si="1"/>
        <v>35</v>
      </c>
    </row>
    <row r="6" spans="1:3" x14ac:dyDescent="0.25">
      <c r="A6" s="37">
        <v>4</v>
      </c>
      <c r="B6" s="37">
        <f t="shared" si="0"/>
        <v>5</v>
      </c>
      <c r="C6" s="37">
        <f t="shared" si="1"/>
        <v>36</v>
      </c>
    </row>
    <row r="7" spans="1:3" x14ac:dyDescent="0.25">
      <c r="A7" s="37">
        <v>5</v>
      </c>
      <c r="B7" s="37">
        <f t="shared" si="0"/>
        <v>6</v>
      </c>
      <c r="C7" s="37">
        <f t="shared" si="1"/>
        <v>37</v>
      </c>
    </row>
    <row r="8" spans="1:3" x14ac:dyDescent="0.25">
      <c r="A8" s="37">
        <v>6</v>
      </c>
      <c r="B8" s="37">
        <f t="shared" si="0"/>
        <v>7</v>
      </c>
      <c r="C8" s="37">
        <f t="shared" si="1"/>
        <v>38</v>
      </c>
    </row>
    <row r="9" spans="1:3" x14ac:dyDescent="0.25">
      <c r="A9" s="37">
        <v>7</v>
      </c>
      <c r="B9" s="37">
        <f t="shared" si="0"/>
        <v>8</v>
      </c>
      <c r="C9" s="37">
        <f t="shared" si="1"/>
        <v>39</v>
      </c>
    </row>
    <row r="10" spans="1:3" x14ac:dyDescent="0.25">
      <c r="A10" s="37">
        <v>8</v>
      </c>
      <c r="B10" s="37">
        <f t="shared" si="0"/>
        <v>9</v>
      </c>
      <c r="C10" s="37">
        <f t="shared" si="1"/>
        <v>40</v>
      </c>
    </row>
    <row r="11" spans="1:3" x14ac:dyDescent="0.25">
      <c r="A11" s="37">
        <v>9</v>
      </c>
      <c r="B11" s="37">
        <f t="shared" si="0"/>
        <v>10</v>
      </c>
      <c r="C11" s="37">
        <f t="shared" si="1"/>
        <v>41</v>
      </c>
    </row>
    <row r="12" spans="1:3" x14ac:dyDescent="0.25">
      <c r="A12" s="37">
        <v>10</v>
      </c>
      <c r="B12" s="37">
        <f t="shared" si="0"/>
        <v>11</v>
      </c>
      <c r="C12" s="37">
        <f t="shared" si="1"/>
        <v>42</v>
      </c>
    </row>
    <row r="13" spans="1:3" x14ac:dyDescent="0.25">
      <c r="A13" s="37">
        <v>11</v>
      </c>
      <c r="B13" s="37">
        <f t="shared" si="0"/>
        <v>12</v>
      </c>
      <c r="C13" s="37">
        <f t="shared" si="1"/>
        <v>43</v>
      </c>
    </row>
    <row r="14" spans="1:3" x14ac:dyDescent="0.25">
      <c r="A14" s="37">
        <v>12</v>
      </c>
      <c r="B14" s="37">
        <f t="shared" si="0"/>
        <v>13</v>
      </c>
      <c r="C14" s="37">
        <f t="shared" si="1"/>
        <v>44</v>
      </c>
    </row>
    <row r="15" spans="1:3" x14ac:dyDescent="0.25">
      <c r="A15" s="37">
        <v>13</v>
      </c>
      <c r="B15" s="37">
        <f t="shared" si="0"/>
        <v>14</v>
      </c>
      <c r="C15" s="37">
        <f t="shared" si="1"/>
        <v>45</v>
      </c>
    </row>
    <row r="16" spans="1:3" x14ac:dyDescent="0.25">
      <c r="A16" s="37">
        <v>14</v>
      </c>
      <c r="B16" s="37">
        <f t="shared" si="0"/>
        <v>15</v>
      </c>
      <c r="C16" s="37">
        <f t="shared" si="1"/>
        <v>46</v>
      </c>
    </row>
    <row r="17" spans="1:3" x14ac:dyDescent="0.25">
      <c r="A17" s="37">
        <v>15</v>
      </c>
      <c r="B17" s="37">
        <f t="shared" si="0"/>
        <v>16</v>
      </c>
      <c r="C17" s="37">
        <f t="shared" si="1"/>
        <v>47</v>
      </c>
    </row>
    <row r="18" spans="1:3" x14ac:dyDescent="0.25">
      <c r="A18" s="37">
        <v>16</v>
      </c>
      <c r="B18" s="37">
        <f t="shared" si="0"/>
        <v>17</v>
      </c>
      <c r="C18" s="37">
        <f t="shared" si="1"/>
        <v>48</v>
      </c>
    </row>
    <row r="19" spans="1:3" x14ac:dyDescent="0.25">
      <c r="A19" s="37">
        <v>17</v>
      </c>
      <c r="B19" s="37">
        <f t="shared" si="0"/>
        <v>18</v>
      </c>
      <c r="C19" s="37">
        <f t="shared" si="1"/>
        <v>49</v>
      </c>
    </row>
    <row r="20" spans="1:3" x14ac:dyDescent="0.25">
      <c r="A20" s="37">
        <v>18</v>
      </c>
      <c r="B20" s="37">
        <f t="shared" si="0"/>
        <v>19</v>
      </c>
      <c r="C20" s="37">
        <f t="shared" si="1"/>
        <v>50</v>
      </c>
    </row>
    <row r="21" spans="1:3" x14ac:dyDescent="0.25">
      <c r="A21" s="37">
        <v>19</v>
      </c>
      <c r="B21" s="37">
        <f t="shared" si="0"/>
        <v>20</v>
      </c>
      <c r="C21" s="37">
        <f t="shared" si="1"/>
        <v>51</v>
      </c>
    </row>
    <row r="22" spans="1:3" x14ac:dyDescent="0.25">
      <c r="A22" s="37">
        <v>20</v>
      </c>
      <c r="B22" s="37">
        <f t="shared" si="0"/>
        <v>21</v>
      </c>
      <c r="C22" s="37">
        <f t="shared" si="1"/>
        <v>52</v>
      </c>
    </row>
    <row r="23" spans="1:3" x14ac:dyDescent="0.25">
      <c r="A23" s="37">
        <v>21</v>
      </c>
      <c r="B23" s="37">
        <f t="shared" si="0"/>
        <v>22</v>
      </c>
      <c r="C23" s="37">
        <f t="shared" si="1"/>
        <v>53</v>
      </c>
    </row>
    <row r="24" spans="1:3" x14ac:dyDescent="0.25">
      <c r="A24" s="37">
        <v>22</v>
      </c>
      <c r="B24" s="37">
        <f t="shared" si="0"/>
        <v>23</v>
      </c>
      <c r="C24" s="37">
        <f t="shared" si="1"/>
        <v>54</v>
      </c>
    </row>
    <row r="25" spans="1:3" x14ac:dyDescent="0.25">
      <c r="A25" s="37">
        <v>23</v>
      </c>
      <c r="B25" s="37">
        <f t="shared" si="0"/>
        <v>24</v>
      </c>
      <c r="C25" s="37">
        <f t="shared" si="1"/>
        <v>55</v>
      </c>
    </row>
    <row r="26" spans="1:3" x14ac:dyDescent="0.25">
      <c r="A26" s="37">
        <v>24</v>
      </c>
      <c r="B26" s="37">
        <f t="shared" si="0"/>
        <v>25</v>
      </c>
      <c r="C26" s="37">
        <f t="shared" si="1"/>
        <v>56</v>
      </c>
    </row>
    <row r="27" spans="1:3" x14ac:dyDescent="0.25">
      <c r="A27" s="37">
        <v>25</v>
      </c>
      <c r="B27" s="37">
        <f t="shared" si="0"/>
        <v>26</v>
      </c>
      <c r="C27" s="37">
        <f t="shared" si="1"/>
        <v>57</v>
      </c>
    </row>
    <row r="28" spans="1:3" x14ac:dyDescent="0.25">
      <c r="A28" s="37">
        <v>26</v>
      </c>
      <c r="B28" s="37">
        <f t="shared" si="0"/>
        <v>27</v>
      </c>
      <c r="C28" s="37">
        <f t="shared" si="1"/>
        <v>58</v>
      </c>
    </row>
    <row r="29" spans="1:3" x14ac:dyDescent="0.25">
      <c r="A29" s="37">
        <v>27</v>
      </c>
      <c r="B29" s="37">
        <f t="shared" si="0"/>
        <v>28</v>
      </c>
      <c r="C29" s="37">
        <f t="shared" si="1"/>
        <v>59</v>
      </c>
    </row>
    <row r="30" spans="1:3" x14ac:dyDescent="0.25">
      <c r="A30" s="37">
        <v>28</v>
      </c>
      <c r="B30" s="37">
        <f t="shared" si="0"/>
        <v>29</v>
      </c>
      <c r="C30" s="37">
        <f t="shared" si="1"/>
        <v>60</v>
      </c>
    </row>
    <row r="31" spans="1:3" x14ac:dyDescent="0.25">
      <c r="A31" s="37">
        <v>29</v>
      </c>
      <c r="B31" s="37">
        <f t="shared" si="0"/>
        <v>30</v>
      </c>
      <c r="C31" s="37">
        <f t="shared" si="1"/>
        <v>61</v>
      </c>
    </row>
    <row r="32" spans="1:3" x14ac:dyDescent="0.25">
      <c r="A32" s="37">
        <v>30</v>
      </c>
      <c r="B32" s="37">
        <f t="shared" si="0"/>
        <v>31</v>
      </c>
      <c r="C32" s="37">
        <f t="shared" si="1"/>
        <v>62</v>
      </c>
    </row>
    <row r="33" spans="1:3" x14ac:dyDescent="0.25">
      <c r="A33" s="37">
        <v>31</v>
      </c>
      <c r="B33" s="37">
        <f t="shared" si="0"/>
        <v>32</v>
      </c>
      <c r="C33" s="37">
        <f t="shared" si="1"/>
        <v>63</v>
      </c>
    </row>
    <row r="34" spans="1:3" x14ac:dyDescent="0.25">
      <c r="A34" s="37">
        <v>32</v>
      </c>
      <c r="B34" s="37">
        <f t="shared" si="0"/>
        <v>33</v>
      </c>
      <c r="C34" s="37">
        <f t="shared" si="1"/>
        <v>64</v>
      </c>
    </row>
    <row r="35" spans="1:3" x14ac:dyDescent="0.25">
      <c r="A35" s="37">
        <v>33</v>
      </c>
      <c r="B35" s="37">
        <f t="shared" si="0"/>
        <v>34</v>
      </c>
      <c r="C35" s="37">
        <f t="shared" si="1"/>
        <v>65</v>
      </c>
    </row>
    <row r="36" spans="1:3" x14ac:dyDescent="0.25">
      <c r="A36" s="37">
        <v>34</v>
      </c>
      <c r="B36" s="37">
        <f t="shared" si="0"/>
        <v>35</v>
      </c>
      <c r="C36" s="37">
        <f t="shared" si="1"/>
        <v>66</v>
      </c>
    </row>
    <row r="37" spans="1:3" x14ac:dyDescent="0.25">
      <c r="A37" s="37">
        <v>35</v>
      </c>
      <c r="B37" s="37">
        <f t="shared" si="0"/>
        <v>36</v>
      </c>
      <c r="C37" s="37">
        <f t="shared" si="1"/>
        <v>67</v>
      </c>
    </row>
    <row r="38" spans="1:3" x14ac:dyDescent="0.25">
      <c r="A38" s="37">
        <v>36</v>
      </c>
      <c r="B38" s="37">
        <f t="shared" si="0"/>
        <v>37</v>
      </c>
      <c r="C38" s="37">
        <f t="shared" si="1"/>
        <v>68</v>
      </c>
    </row>
    <row r="39" spans="1:3" x14ac:dyDescent="0.25">
      <c r="A39" s="37">
        <v>37</v>
      </c>
      <c r="B39" s="37">
        <f t="shared" si="0"/>
        <v>38</v>
      </c>
      <c r="C39" s="37">
        <f t="shared" si="1"/>
        <v>69</v>
      </c>
    </row>
    <row r="40" spans="1:3" x14ac:dyDescent="0.25">
      <c r="A40" s="37">
        <v>38</v>
      </c>
      <c r="B40" s="37">
        <f t="shared" si="0"/>
        <v>39</v>
      </c>
      <c r="C40" s="37">
        <f t="shared" si="1"/>
        <v>70</v>
      </c>
    </row>
    <row r="41" spans="1:3" x14ac:dyDescent="0.25">
      <c r="A41" s="37">
        <v>39</v>
      </c>
      <c r="B41" s="37">
        <f t="shared" si="0"/>
        <v>40</v>
      </c>
      <c r="C41" s="37">
        <f t="shared" si="1"/>
        <v>71</v>
      </c>
    </row>
    <row r="42" spans="1:3" x14ac:dyDescent="0.25">
      <c r="A42" s="37">
        <v>40</v>
      </c>
      <c r="B42" s="37">
        <f t="shared" si="0"/>
        <v>41</v>
      </c>
      <c r="C42" s="37">
        <f t="shared" si="1"/>
        <v>72</v>
      </c>
    </row>
    <row r="43" spans="1:3" x14ac:dyDescent="0.25">
      <c r="A43" s="37">
        <v>41</v>
      </c>
      <c r="B43" s="37">
        <f t="shared" si="0"/>
        <v>42</v>
      </c>
      <c r="C43" s="37">
        <f t="shared" si="1"/>
        <v>73</v>
      </c>
    </row>
    <row r="44" spans="1:3" x14ac:dyDescent="0.25">
      <c r="A44" s="37">
        <v>42</v>
      </c>
      <c r="B44" s="37">
        <f t="shared" si="0"/>
        <v>43</v>
      </c>
      <c r="C44" s="37">
        <f t="shared" si="1"/>
        <v>74</v>
      </c>
    </row>
    <row r="45" spans="1:3" x14ac:dyDescent="0.25">
      <c r="A45" s="37">
        <v>43</v>
      </c>
      <c r="B45" s="37">
        <f t="shared" si="0"/>
        <v>44</v>
      </c>
      <c r="C45" s="37">
        <f t="shared" si="1"/>
        <v>75</v>
      </c>
    </row>
    <row r="46" spans="1:3" x14ac:dyDescent="0.25">
      <c r="A46" s="37">
        <v>44</v>
      </c>
      <c r="B46" s="37">
        <f t="shared" si="0"/>
        <v>45</v>
      </c>
      <c r="C46" s="37">
        <f t="shared" si="1"/>
        <v>76</v>
      </c>
    </row>
    <row r="47" spans="1:3" x14ac:dyDescent="0.25">
      <c r="A47" s="37">
        <v>45</v>
      </c>
      <c r="B47" s="37">
        <f t="shared" si="0"/>
        <v>46</v>
      </c>
      <c r="C47" s="37">
        <f t="shared" si="1"/>
        <v>77</v>
      </c>
    </row>
    <row r="48" spans="1:3" x14ac:dyDescent="0.25">
      <c r="A48" s="37">
        <v>46</v>
      </c>
      <c r="B48" s="37">
        <f t="shared" si="0"/>
        <v>47</v>
      </c>
      <c r="C48" s="37">
        <f t="shared" si="1"/>
        <v>78</v>
      </c>
    </row>
    <row r="49" spans="1:3" x14ac:dyDescent="0.25">
      <c r="A49" s="37">
        <v>47</v>
      </c>
      <c r="B49" s="37">
        <f t="shared" si="0"/>
        <v>48</v>
      </c>
      <c r="C49" s="37">
        <f t="shared" si="1"/>
        <v>79</v>
      </c>
    </row>
    <row r="50" spans="1:3" x14ac:dyDescent="0.25">
      <c r="A50" s="37">
        <v>48</v>
      </c>
      <c r="B50" s="37">
        <f t="shared" si="0"/>
        <v>49</v>
      </c>
      <c r="C50" s="37">
        <f t="shared" si="1"/>
        <v>80</v>
      </c>
    </row>
    <row r="51" spans="1:3" x14ac:dyDescent="0.25">
      <c r="A51" s="37">
        <v>49</v>
      </c>
      <c r="B51" s="37">
        <f t="shared" si="0"/>
        <v>50</v>
      </c>
      <c r="C51" s="37">
        <f t="shared" si="1"/>
        <v>81</v>
      </c>
    </row>
    <row r="52" spans="1:3" x14ac:dyDescent="0.25">
      <c r="A52" s="37">
        <v>50</v>
      </c>
      <c r="B52" s="37">
        <f t="shared" si="0"/>
        <v>51</v>
      </c>
      <c r="C52" s="37">
        <f t="shared" si="1"/>
        <v>82</v>
      </c>
    </row>
    <row r="53" spans="1:3" x14ac:dyDescent="0.25">
      <c r="A53" s="37">
        <v>51</v>
      </c>
      <c r="B53" s="37">
        <f t="shared" si="0"/>
        <v>52</v>
      </c>
      <c r="C53" s="37">
        <f t="shared" si="1"/>
        <v>83</v>
      </c>
    </row>
    <row r="54" spans="1:3" x14ac:dyDescent="0.25">
      <c r="A54" s="37">
        <v>52</v>
      </c>
      <c r="B54" s="37">
        <f t="shared" si="0"/>
        <v>53</v>
      </c>
      <c r="C54" s="37">
        <f t="shared" si="1"/>
        <v>84</v>
      </c>
    </row>
    <row r="55" spans="1:3" x14ac:dyDescent="0.25">
      <c r="A55" s="37">
        <v>53</v>
      </c>
      <c r="B55" s="37">
        <f t="shared" si="0"/>
        <v>54</v>
      </c>
      <c r="C55" s="37">
        <f t="shared" si="1"/>
        <v>85</v>
      </c>
    </row>
    <row r="56" spans="1:3" x14ac:dyDescent="0.25">
      <c r="A56" s="37">
        <v>54</v>
      </c>
      <c r="B56" s="37">
        <f t="shared" si="0"/>
        <v>55</v>
      </c>
      <c r="C56" s="37">
        <f t="shared" si="1"/>
        <v>86</v>
      </c>
    </row>
    <row r="57" spans="1:3" x14ac:dyDescent="0.25">
      <c r="A57" s="37">
        <v>55</v>
      </c>
      <c r="B57" s="37">
        <f t="shared" si="0"/>
        <v>56</v>
      </c>
      <c r="C57" s="37">
        <f t="shared" si="1"/>
        <v>87</v>
      </c>
    </row>
    <row r="58" spans="1:3" x14ac:dyDescent="0.25">
      <c r="A58" s="37">
        <v>56</v>
      </c>
      <c r="B58" s="37">
        <f t="shared" si="0"/>
        <v>57</v>
      </c>
      <c r="C58" s="37">
        <f t="shared" si="1"/>
        <v>88</v>
      </c>
    </row>
    <row r="59" spans="1:3" x14ac:dyDescent="0.25">
      <c r="A59" s="37">
        <v>57</v>
      </c>
      <c r="B59" s="37">
        <f t="shared" si="0"/>
        <v>58</v>
      </c>
      <c r="C59" s="37">
        <f t="shared" si="1"/>
        <v>89</v>
      </c>
    </row>
    <row r="60" spans="1:3" x14ac:dyDescent="0.25">
      <c r="A60" s="37">
        <v>58</v>
      </c>
      <c r="B60" s="37">
        <f t="shared" si="0"/>
        <v>59</v>
      </c>
      <c r="C60" s="37">
        <f t="shared" si="1"/>
        <v>90</v>
      </c>
    </row>
    <row r="61" spans="1:3" x14ac:dyDescent="0.25">
      <c r="A61" s="37">
        <v>59</v>
      </c>
      <c r="B61" s="37">
        <f t="shared" si="0"/>
        <v>60</v>
      </c>
      <c r="C61" s="37">
        <f t="shared" si="1"/>
        <v>91</v>
      </c>
    </row>
    <row r="62" spans="1:3" x14ac:dyDescent="0.25">
      <c r="A62" s="37">
        <v>60</v>
      </c>
      <c r="B62" s="37">
        <f t="shared" si="0"/>
        <v>61</v>
      </c>
      <c r="C62" s="37">
        <f t="shared" si="1"/>
        <v>92</v>
      </c>
    </row>
    <row r="63" spans="1:3" x14ac:dyDescent="0.25">
      <c r="A63" s="37">
        <v>61</v>
      </c>
      <c r="B63" s="37">
        <f t="shared" si="0"/>
        <v>62</v>
      </c>
      <c r="C63" s="37">
        <f t="shared" si="1"/>
        <v>93</v>
      </c>
    </row>
    <row r="64" spans="1:3" x14ac:dyDescent="0.25">
      <c r="A64" s="37">
        <v>62</v>
      </c>
      <c r="B64" s="37">
        <f t="shared" si="0"/>
        <v>63</v>
      </c>
      <c r="C64" s="37">
        <f t="shared" si="1"/>
        <v>94</v>
      </c>
    </row>
    <row r="65" spans="1:3" x14ac:dyDescent="0.25">
      <c r="A65" s="37">
        <v>63</v>
      </c>
      <c r="B65" s="37">
        <f t="shared" si="0"/>
        <v>64</v>
      </c>
      <c r="C65" s="37">
        <f t="shared" si="1"/>
        <v>95</v>
      </c>
    </row>
    <row r="66" spans="1:3" x14ac:dyDescent="0.25">
      <c r="A66" s="37">
        <v>64</v>
      </c>
      <c r="B66" s="37">
        <f t="shared" si="0"/>
        <v>65</v>
      </c>
      <c r="C66" s="37">
        <f t="shared" si="1"/>
        <v>96</v>
      </c>
    </row>
    <row r="67" spans="1:3" x14ac:dyDescent="0.25">
      <c r="A67" s="37">
        <v>65</v>
      </c>
      <c r="B67" s="37">
        <f t="shared" si="0"/>
        <v>66</v>
      </c>
      <c r="C67" s="37">
        <f t="shared" si="1"/>
        <v>97</v>
      </c>
    </row>
    <row r="68" spans="1:3" x14ac:dyDescent="0.25">
      <c r="A68" s="37">
        <v>66</v>
      </c>
      <c r="B68" s="37">
        <f t="shared" ref="B68:C83" si="2">B67+1</f>
        <v>67</v>
      </c>
      <c r="C68" s="37">
        <f t="shared" si="1"/>
        <v>98</v>
      </c>
    </row>
    <row r="69" spans="1:3" x14ac:dyDescent="0.25">
      <c r="A69" s="37">
        <v>67</v>
      </c>
      <c r="B69" s="37">
        <f t="shared" si="2"/>
        <v>68</v>
      </c>
      <c r="C69" s="37">
        <f t="shared" si="2"/>
        <v>99</v>
      </c>
    </row>
    <row r="70" spans="1:3" x14ac:dyDescent="0.25">
      <c r="A70" s="37">
        <v>68</v>
      </c>
      <c r="B70" s="37">
        <f t="shared" si="2"/>
        <v>69</v>
      </c>
      <c r="C70" s="37">
        <f t="shared" si="2"/>
        <v>100</v>
      </c>
    </row>
    <row r="71" spans="1:3" x14ac:dyDescent="0.25">
      <c r="A71" s="37">
        <v>69</v>
      </c>
      <c r="B71" s="37">
        <f t="shared" si="2"/>
        <v>70</v>
      </c>
      <c r="C71" s="37">
        <f t="shared" si="2"/>
        <v>101</v>
      </c>
    </row>
    <row r="72" spans="1:3" x14ac:dyDescent="0.25">
      <c r="A72" s="37">
        <v>70</v>
      </c>
      <c r="B72" s="37">
        <f t="shared" si="2"/>
        <v>71</v>
      </c>
      <c r="C72" s="37">
        <f t="shared" si="2"/>
        <v>102</v>
      </c>
    </row>
    <row r="73" spans="1:3" x14ac:dyDescent="0.25">
      <c r="A73" s="37">
        <v>71</v>
      </c>
      <c r="B73" s="37">
        <f t="shared" si="2"/>
        <v>72</v>
      </c>
      <c r="C73" s="37">
        <f t="shared" si="2"/>
        <v>103</v>
      </c>
    </row>
    <row r="74" spans="1:3" x14ac:dyDescent="0.25">
      <c r="A74" s="37">
        <v>72</v>
      </c>
      <c r="B74" s="37">
        <f t="shared" si="2"/>
        <v>73</v>
      </c>
      <c r="C74" s="37">
        <f t="shared" si="2"/>
        <v>104</v>
      </c>
    </row>
    <row r="75" spans="1:3" x14ac:dyDescent="0.25">
      <c r="A75" s="37">
        <v>73</v>
      </c>
      <c r="B75" s="37">
        <f t="shared" si="2"/>
        <v>74</v>
      </c>
      <c r="C75" s="37">
        <f t="shared" si="2"/>
        <v>105</v>
      </c>
    </row>
    <row r="76" spans="1:3" x14ac:dyDescent="0.25">
      <c r="A76" s="37">
        <v>74</v>
      </c>
      <c r="B76" s="37">
        <f t="shared" si="2"/>
        <v>75</v>
      </c>
      <c r="C76" s="37">
        <f t="shared" si="2"/>
        <v>106</v>
      </c>
    </row>
    <row r="77" spans="1:3" x14ac:dyDescent="0.25">
      <c r="A77" s="37">
        <v>75</v>
      </c>
      <c r="B77" s="37">
        <f t="shared" si="2"/>
        <v>76</v>
      </c>
      <c r="C77" s="37">
        <f t="shared" si="2"/>
        <v>107</v>
      </c>
    </row>
    <row r="78" spans="1:3" x14ac:dyDescent="0.25">
      <c r="A78" s="37">
        <v>76</v>
      </c>
      <c r="B78" s="37">
        <f t="shared" si="2"/>
        <v>77</v>
      </c>
      <c r="C78" s="37">
        <f t="shared" si="2"/>
        <v>108</v>
      </c>
    </row>
    <row r="79" spans="1:3" x14ac:dyDescent="0.25">
      <c r="A79" s="37">
        <v>77</v>
      </c>
      <c r="B79" s="37">
        <f t="shared" si="2"/>
        <v>78</v>
      </c>
      <c r="C79" s="37">
        <f t="shared" si="2"/>
        <v>109</v>
      </c>
    </row>
    <row r="80" spans="1:3" x14ac:dyDescent="0.25">
      <c r="A80" s="37">
        <v>78</v>
      </c>
      <c r="B80" s="37">
        <f t="shared" si="2"/>
        <v>79</v>
      </c>
      <c r="C80" s="37">
        <f t="shared" si="2"/>
        <v>110</v>
      </c>
    </row>
    <row r="81" spans="1:3" x14ac:dyDescent="0.25">
      <c r="A81" s="37">
        <v>79</v>
      </c>
      <c r="B81" s="37">
        <f t="shared" si="2"/>
        <v>80</v>
      </c>
      <c r="C81" s="37">
        <f t="shared" si="2"/>
        <v>111</v>
      </c>
    </row>
    <row r="82" spans="1:3" x14ac:dyDescent="0.25">
      <c r="A82" s="37">
        <v>80</v>
      </c>
      <c r="B82" s="37">
        <f t="shared" si="2"/>
        <v>81</v>
      </c>
      <c r="C82" s="37">
        <f t="shared" si="2"/>
        <v>112</v>
      </c>
    </row>
    <row r="83" spans="1:3" x14ac:dyDescent="0.25">
      <c r="A83" s="37">
        <v>81</v>
      </c>
      <c r="B83" s="37">
        <f t="shared" ref="B83" si="3">B82+1</f>
        <v>82</v>
      </c>
      <c r="C83" s="37">
        <f t="shared" si="2"/>
        <v>113</v>
      </c>
    </row>
    <row r="84" spans="1:3" x14ac:dyDescent="0.25">
      <c r="A84" s="37">
        <v>82</v>
      </c>
      <c r="B84" s="37">
        <f t="shared" ref="B84" si="4">B83+1</f>
        <v>83</v>
      </c>
      <c r="C84" s="37">
        <f t="shared" ref="C84:C102" si="5">C83+1</f>
        <v>114</v>
      </c>
    </row>
    <row r="85" spans="1:3" x14ac:dyDescent="0.25">
      <c r="A85" s="37">
        <v>83</v>
      </c>
      <c r="B85" s="37">
        <f t="shared" ref="B85" si="6">B84+1</f>
        <v>84</v>
      </c>
      <c r="C85" s="37">
        <f t="shared" si="5"/>
        <v>115</v>
      </c>
    </row>
    <row r="86" spans="1:3" x14ac:dyDescent="0.25">
      <c r="A86" s="37">
        <v>84</v>
      </c>
      <c r="B86" s="37">
        <f t="shared" ref="B86" si="7">B85+1</f>
        <v>85</v>
      </c>
      <c r="C86" s="37">
        <f t="shared" si="5"/>
        <v>116</v>
      </c>
    </row>
    <row r="87" spans="1:3" x14ac:dyDescent="0.25">
      <c r="A87" s="37">
        <v>85</v>
      </c>
      <c r="B87" s="37">
        <f t="shared" ref="B87" si="8">B86+1</f>
        <v>86</v>
      </c>
      <c r="C87" s="37">
        <f t="shared" si="5"/>
        <v>117</v>
      </c>
    </row>
    <row r="88" spans="1:3" x14ac:dyDescent="0.25">
      <c r="A88" s="37">
        <v>86</v>
      </c>
      <c r="B88" s="37">
        <f t="shared" ref="B88" si="9">B87+1</f>
        <v>87</v>
      </c>
      <c r="C88" s="37">
        <f t="shared" si="5"/>
        <v>118</v>
      </c>
    </row>
    <row r="89" spans="1:3" x14ac:dyDescent="0.25">
      <c r="A89" s="37">
        <v>87</v>
      </c>
      <c r="B89" s="37">
        <f t="shared" ref="B89" si="10">B88+1</f>
        <v>88</v>
      </c>
      <c r="C89" s="37">
        <f t="shared" si="5"/>
        <v>119</v>
      </c>
    </row>
    <row r="90" spans="1:3" x14ac:dyDescent="0.25">
      <c r="A90" s="37">
        <v>88</v>
      </c>
      <c r="B90" s="37">
        <f t="shared" ref="B90" si="11">B89+1</f>
        <v>89</v>
      </c>
      <c r="C90" s="37">
        <f t="shared" si="5"/>
        <v>120</v>
      </c>
    </row>
    <row r="91" spans="1:3" x14ac:dyDescent="0.25">
      <c r="A91" s="37">
        <v>89</v>
      </c>
      <c r="B91" s="37">
        <f t="shared" ref="B91" si="12">B90+1</f>
        <v>90</v>
      </c>
      <c r="C91" s="37">
        <f t="shared" si="5"/>
        <v>121</v>
      </c>
    </row>
    <row r="92" spans="1:3" x14ac:dyDescent="0.25">
      <c r="A92" s="37">
        <v>90</v>
      </c>
      <c r="B92" s="37">
        <f t="shared" ref="B92" si="13">B91+1</f>
        <v>91</v>
      </c>
      <c r="C92" s="37">
        <f t="shared" si="5"/>
        <v>122</v>
      </c>
    </row>
    <row r="93" spans="1:3" x14ac:dyDescent="0.25">
      <c r="A93" s="37">
        <v>91</v>
      </c>
      <c r="B93" s="37">
        <f t="shared" ref="B93" si="14">B92+1</f>
        <v>92</v>
      </c>
      <c r="C93" s="37">
        <f t="shared" si="5"/>
        <v>123</v>
      </c>
    </row>
    <row r="94" spans="1:3" x14ac:dyDescent="0.25">
      <c r="A94" s="37">
        <v>92</v>
      </c>
      <c r="B94" s="37">
        <f t="shared" ref="B94" si="15">B93+1</f>
        <v>93</v>
      </c>
      <c r="C94" s="37">
        <f t="shared" si="5"/>
        <v>124</v>
      </c>
    </row>
    <row r="95" spans="1:3" x14ac:dyDescent="0.25">
      <c r="A95" s="37">
        <v>93</v>
      </c>
      <c r="B95" s="37">
        <f t="shared" ref="B95:B102" si="16">B94+1</f>
        <v>94</v>
      </c>
      <c r="C95" s="37">
        <f t="shared" si="5"/>
        <v>125</v>
      </c>
    </row>
    <row r="96" spans="1:3" x14ac:dyDescent="0.25">
      <c r="A96" s="37">
        <v>94</v>
      </c>
      <c r="B96" s="37">
        <f t="shared" si="16"/>
        <v>95</v>
      </c>
      <c r="C96" s="37">
        <f t="shared" si="5"/>
        <v>126</v>
      </c>
    </row>
    <row r="97" spans="1:3" x14ac:dyDescent="0.25">
      <c r="A97" s="37">
        <v>95</v>
      </c>
      <c r="B97" s="37">
        <f t="shared" si="16"/>
        <v>96</v>
      </c>
      <c r="C97" s="37">
        <f t="shared" si="5"/>
        <v>127</v>
      </c>
    </row>
    <row r="98" spans="1:3" x14ac:dyDescent="0.25">
      <c r="A98" s="37">
        <v>96</v>
      </c>
      <c r="B98" s="37">
        <f t="shared" si="16"/>
        <v>97</v>
      </c>
      <c r="C98" s="37">
        <f t="shared" si="5"/>
        <v>128</v>
      </c>
    </row>
    <row r="99" spans="1:3" x14ac:dyDescent="0.25">
      <c r="A99" s="37">
        <v>97</v>
      </c>
      <c r="B99" s="37">
        <f t="shared" si="16"/>
        <v>98</v>
      </c>
      <c r="C99" s="37">
        <f t="shared" si="5"/>
        <v>129</v>
      </c>
    </row>
    <row r="100" spans="1:3" x14ac:dyDescent="0.25">
      <c r="A100" s="37">
        <v>98</v>
      </c>
      <c r="B100" s="37">
        <f t="shared" si="16"/>
        <v>99</v>
      </c>
      <c r="C100" s="37">
        <f t="shared" si="5"/>
        <v>130</v>
      </c>
    </row>
    <row r="101" spans="1:3" x14ac:dyDescent="0.25">
      <c r="A101" s="37">
        <v>99</v>
      </c>
      <c r="B101" s="37">
        <f t="shared" si="16"/>
        <v>100</v>
      </c>
      <c r="C101" s="37">
        <f t="shared" si="5"/>
        <v>131</v>
      </c>
    </row>
    <row r="102" spans="1:3" x14ac:dyDescent="0.25">
      <c r="A102" s="37">
        <v>100</v>
      </c>
      <c r="B102" s="37">
        <f t="shared" si="16"/>
        <v>101</v>
      </c>
      <c r="C102" s="37">
        <f t="shared" si="5"/>
        <v>132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3CC4F72A0F33C4E9FAEAC28ED6A3FDD" ma:contentTypeVersion="13" ma:contentTypeDescription="建立新的文件。" ma:contentTypeScope="" ma:versionID="16bba90b60afb4dd339284e8c77d0d62">
  <xsd:schema xmlns:xsd="http://www.w3.org/2001/XMLSchema" xmlns:xs="http://www.w3.org/2001/XMLSchema" xmlns:p="http://schemas.microsoft.com/office/2006/metadata/properties" xmlns:ns3="bc1e6be4-15ec-4a47-9efb-40fd193f69d8" xmlns:ns4="b46d7f78-5e06-45bb-abb7-bb600619ab1a" targetNamespace="http://schemas.microsoft.com/office/2006/metadata/properties" ma:root="true" ma:fieldsID="6f8572e6f68636d3fa9e371daf76c1e0" ns3:_="" ns4:_="">
    <xsd:import namespace="bc1e6be4-15ec-4a47-9efb-40fd193f69d8"/>
    <xsd:import namespace="b46d7f78-5e06-45bb-abb7-bb600619a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e6be4-15ec-4a47-9efb-40fd193f69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d7f78-5e06-45bb-abb7-bb600619ab1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D1F8BD-9632-443C-BEE8-3CACEF1C89CD}">
  <ds:schemaRefs/>
</ds:datastoreItem>
</file>

<file path=customXml/itemProps2.xml><?xml version="1.0" encoding="utf-8"?>
<ds:datastoreItem xmlns:ds="http://schemas.openxmlformats.org/officeDocument/2006/customXml" ds:itemID="{83DEBED9-67F8-4386-8A13-7CAF7AAE2030}">
  <ds:schemaRefs/>
</ds:datastoreItem>
</file>

<file path=customXml/itemProps3.xml><?xml version="1.0" encoding="utf-8"?>
<ds:datastoreItem xmlns:ds="http://schemas.openxmlformats.org/officeDocument/2006/customXml" ds:itemID="{F86E89E5-4362-44B4-95A6-B7926404F9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</vt:lpstr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</dc:creator>
  <cp:lastModifiedBy>TIN YAU LAI</cp:lastModifiedBy>
  <dcterms:created xsi:type="dcterms:W3CDTF">2021-03-10T02:39:00Z</dcterms:created>
  <dcterms:modified xsi:type="dcterms:W3CDTF">2026-09-03T02:16:29Z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0x010100F3CC4F72A0F33C4E9FAEAC28ED6A3FDD</vt:lpwstr>
  </property>
  <property fmtid="{D5CDD505-2E9C-101B-9397-08002B2CF9AE}" pid="3" name="KSOProductBuildVer">
    <vt:lpwstr>1028-10.8.0.6003</vt:lpwstr>
  </property>
</Properties>
</file>